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defaultThemeVersion="166925"/>
  <mc:AlternateContent xmlns:mc="http://schemas.openxmlformats.org/markup-compatibility/2006">
    <mc:Choice Requires="x15">
      <x15ac:absPath xmlns:x15ac="http://schemas.microsoft.com/office/spreadsheetml/2010/11/ac" url="https://livejohnshopkins-my.sharepoint.com/personal/mrafiei1_jh_edu/Documents/Academic/Courses/JHU/StudentAdvising/"/>
    </mc:Choice>
  </mc:AlternateContent>
  <xr:revisionPtr revIDLastSave="48" documentId="8_{746C1087-CC72-4358-8396-1CEE065834A1}" xr6:coauthVersionLast="47" xr6:coauthVersionMax="47" xr10:uidLastSave="{B550C4B5-4684-4299-A932-3161C5019264}"/>
  <bookViews>
    <workbookView xWindow="-98" yWindow="-98" windowWidth="28996" windowHeight="15675" firstSheet="1" xr2:uid="{F22EA22F-C64B-4271-9E8A-CE6F19BBDA3B}"/>
  </bookViews>
  <sheets>
    <sheet name="ME MS" sheetId="1" r:id="rId1"/>
    <sheet name="cs" sheetId="4" r:id="rId2"/>
    <sheet name="inf" sheetId="2" r:id="rId3"/>
    <sheet name="hp1" sheetId="5" r:id="rId4"/>
    <sheet name="ho2" sheetId="6" r:id="rId5"/>
    <sheet name="cml" sheetId="8"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8" i="1" l="1" a="1"/>
  <c r="A28" i="1" s="1"/>
  <c r="F25" i="1" a="1"/>
  <c r="F25" i="1" s="1"/>
  <c r="F24" i="1" a="1"/>
  <c r="F24" i="1" s="1"/>
  <c r="F23" i="1" a="1"/>
  <c r="F23" i="1" s="1"/>
  <c r="F22" i="1" a="1"/>
  <c r="F22" i="1" s="1"/>
  <c r="F20" i="1" a="1"/>
  <c r="F20" i="1" s="1"/>
  <c r="F19" i="1" a="1"/>
  <c r="F19" i="1" s="1"/>
  <c r="F18" i="1" a="1"/>
  <c r="F18" i="1" s="1"/>
  <c r="F17" i="1"/>
  <c r="F16" i="1"/>
  <c r="A1" i="6"/>
  <c r="A8" i="6"/>
  <c r="A9" i="6"/>
  <c r="A10" i="6"/>
  <c r="A7" i="6"/>
  <c r="C25" i="1"/>
  <c r="C24" i="1"/>
  <c r="C23" i="1"/>
  <c r="C22" i="1"/>
  <c r="Q2" i="5" a="1"/>
  <c r="O2" i="5" a="1"/>
  <c r="M2" i="5" a="1"/>
  <c r="A2" i="5" a="1"/>
  <c r="A2" i="5" s="1"/>
  <c r="C2" i="5" a="1"/>
  <c r="C2" i="5" s="1"/>
  <c r="E2" i="5" a="1"/>
  <c r="E2" i="5" s="1"/>
  <c r="G2" i="5" a="1"/>
  <c r="G2" i="5" s="1"/>
  <c r="I2" i="5" a="1"/>
  <c r="I2" i="5" s="1"/>
  <c r="K2" i="5" a="1"/>
  <c r="C20" i="1"/>
  <c r="C19" i="1"/>
  <c r="C18" i="1"/>
  <c r="A6" i="6"/>
  <c r="A5" i="6"/>
  <c r="A4" i="6"/>
  <c r="A3" i="6"/>
  <c r="A2" i="6"/>
  <c r="C17" i="1"/>
  <c r="C16" i="1"/>
  <c r="K2" i="5" l="1"/>
  <c r="L1" i="5" s="1" a="1"/>
  <c r="L1" i="5" s="1"/>
  <c r="M2" i="5"/>
  <c r="N1" i="5" a="1"/>
  <c r="N1" i="5" s="1"/>
  <c r="O2" i="5"/>
  <c r="P1" i="5" s="1" a="1"/>
  <c r="P1" i="5" s="1"/>
  <c r="Q2" i="5"/>
  <c r="R1" i="5" s="1" a="1"/>
  <c r="R1" i="5" s="1"/>
  <c r="H1" i="5" a="1"/>
  <c r="H1" i="5" s="1"/>
  <c r="J1" i="5" a="1"/>
  <c r="J1" i="5" s="1"/>
  <c r="F1" i="5" a="1"/>
  <c r="F1" i="5" s="1"/>
  <c r="B1" i="5" a="1"/>
  <c r="B1" i="5" s="1"/>
  <c r="D1" i="5" a="1"/>
  <c r="D1"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<sst xmlns="http://schemas.openxmlformats.org/spreadsheetml/2006/main" count="14259" uniqueCount="2940">
  <si>
    <t>MS IN MECHANICAL ENGINEERING</t>
  </si>
  <si>
    <t>This is for planning purposes only. This plan is only approved once you receive confirmation from your advisor.</t>
  </si>
  <si>
    <t>Students can choose one of two options to fulfill their Master's degree requirements: the "All-Course" option or the "Thesis" option. The requirements for both options are summarized below.
ALL COURSE OPTION:  Students completing the “all-course” option must take a coordinated sequence of ten courses. All courses must be completed within five years from the start of the student’s first class. Students are required to choose a focus area to follow. The focus area selected does not appear as an official designation on the student transcript. The curriculum consists of one core course in mathematics, two core courses from Group 1 and three other courses from Group 2 of the student’s chosen focus area, and four technical electives. At least two of the four electives must be from a core engineering discipline, and at most two can be chosen from the Engineering Management, Systems Engineering, Space Systems Engineering, Information Systems Engineering, Healthcare Systems Engineering, Cybersecurity, Financial Mathematics, Occupational and Environmental Hygiene, or Environmental Planning and Management programs.
THESIS OPTION: Students completing the “thesis” option must take a coordinated sequence of eight courses and prepare and submit a Master’s thesis. All requirements should be completed within five years. Students are required to choose a focus area to follow. The focus area selected does not appear as an official designation on the student transcript. The curriculum consists of one core course in mathematics, two core courses from those listed in Group 1 and three courses from those listed in Group 2 of the student’s chosen focus area, two technical electives, and a thesis. 
Please see catalog for more information.</t>
  </si>
  <si>
    <t>Link to when courses are being offered:</t>
  </si>
  <si>
    <t>https://ep.jhu.edu/wp-content/uploads/2020/09/scheduleplan-me.pdf</t>
  </si>
  <si>
    <t>Link to website:</t>
  </si>
  <si>
    <t>https://ep.jhu.edu/programs/mechanical-engineering/</t>
  </si>
  <si>
    <t>Link to catalog:</t>
  </si>
  <si>
    <t>https://e-catalogue.jhu.edu/engineering/engineering-professionals/mechanical-engineering/mechanical-engineering-master-science/</t>
  </si>
  <si>
    <t>*** ATTENTION: Aerosapce Engineering - General is only for students addmitted before Spring 2026</t>
  </si>
  <si>
    <t>FOCUS AREAS/CONC</t>
  </si>
  <si>
    <t>*** STEP 1: SELECT FROM LIST ***</t>
  </si>
  <si>
    <t>Course Name</t>
  </si>
  <si>
    <t>Semester Planned/Taken*</t>
  </si>
  <si>
    <t>Successfully completed (y/n)?)</t>
  </si>
  <si>
    <t>Course description</t>
  </si>
  <si>
    <t xml:space="preserve">Core </t>
  </si>
  <si>
    <t>Core Courses</t>
  </si>
  <si>
    <t> </t>
  </si>
  <si>
    <t>Math Core Course</t>
  </si>
  <si>
    <t>EN.535.641</t>
  </si>
  <si>
    <t>Mathematical Methods For Engineers (ANY SECTION IS OK)</t>
  </si>
  <si>
    <t>SP 26</t>
  </si>
  <si>
    <t>NO</t>
  </si>
  <si>
    <t>Focus Area</t>
  </si>
  <si>
    <t>Focus Area Courses</t>
  </si>
  <si>
    <t>Group 1 Focus Area Course</t>
  </si>
  <si>
    <t>*** STEP 02: SELECT GROUP 1 ***</t>
  </si>
  <si>
    <t>*** STEP 03: SELECT GROUP 1 ***</t>
  </si>
  <si>
    <t>SP 21</t>
  </si>
  <si>
    <t xml:space="preserve">Group 2 Focus Area Course </t>
  </si>
  <si>
    <t>*** STEP 04: SELECT GROUP 1 OR 2 ***</t>
  </si>
  <si>
    <t>FA 21</t>
  </si>
  <si>
    <t>*** STEP 05: SELECT GROUP 1 OR 2 ***</t>
  </si>
  <si>
    <t>SU 21</t>
  </si>
  <si>
    <t>*** STEP 06: SELECT GROUP 1 OR 2 ***</t>
  </si>
  <si>
    <t>SU 23</t>
  </si>
  <si>
    <t>Technical Electives</t>
  </si>
  <si>
    <t>Additional classes</t>
  </si>
  <si>
    <t>Technical Elective</t>
  </si>
  <si>
    <t xml:space="preserve"> *** STEP 07: SELECT ELECTIVES ***</t>
  </si>
  <si>
    <t xml:space="preserve"> *** STEP 08: SELECT ELECTIVES ***</t>
  </si>
  <si>
    <t>Technical Elective/Thesis</t>
  </si>
  <si>
    <t xml:space="preserve"> *** STEP 09: SELECT ELECTIVES ***</t>
  </si>
  <si>
    <t xml:space="preserve"> *** STEP 10: SELECT ELECTIVES ***</t>
  </si>
  <si>
    <t>*Course Enrollment is subject to offering and space availability and is not guaranteed by advisor approval of the academic plan.</t>
  </si>
  <si>
    <t>***ATTENTION: Ensure Not Selecting Duplicates</t>
  </si>
  <si>
    <t xml:space="preserve">***ATTENTION: Ensure No more than 1 recommended/computational course for Group 2 | you can take as many computational course as you want as core engineering electives </t>
  </si>
  <si>
    <t>If your admissions letter required you to take pre-requisite coursework, list those requirements here:</t>
  </si>
  <si>
    <t>Pre-requisites required</t>
  </si>
  <si>
    <t>Course Number</t>
  </si>
  <si>
    <t xml:space="preserve">Course Name </t>
  </si>
  <si>
    <t>Pre-requisite course</t>
  </si>
  <si>
    <t xml:space="preserve"> </t>
  </si>
  <si>
    <t>YES</t>
  </si>
  <si>
    <t>SP 23</t>
  </si>
  <si>
    <t>FA 23</t>
  </si>
  <si>
    <t>SP 22</t>
  </si>
  <si>
    <t xml:space="preserve">NOTES: </t>
  </si>
  <si>
    <t>Program</t>
  </si>
  <si>
    <t>Course Title</t>
  </si>
  <si>
    <t>Course Credits</t>
  </si>
  <si>
    <t>Advanced Manufacturing</t>
  </si>
  <si>
    <t>Aerospace Engineering - Aerodynamics</t>
  </si>
  <si>
    <t>Aerospace Engineering - Dynamics and Control</t>
  </si>
  <si>
    <t>Aerospace Engineering - Structures and Materials</t>
  </si>
  <si>
    <t>Aerospace Engineering - Vehicle Design</t>
  </si>
  <si>
    <t>Biomechanical Engineering</t>
  </si>
  <si>
    <t>Fluid and Thermal Mechanics</t>
  </si>
  <si>
    <t>Hypersonic Technologies</t>
  </si>
  <si>
    <t>Mechanics of Materials and Structures</t>
  </si>
  <si>
    <t>Ocean Engineering</t>
  </si>
  <si>
    <t>Robotics, Dynamics, and Controls</t>
  </si>
  <si>
    <t>Course Description</t>
  </si>
  <si>
    <t>ep_mechanical_engineering</t>
  </si>
  <si>
    <t>EN.535.603</t>
  </si>
  <si>
    <t>Applied Optimal Control</t>
  </si>
  <si>
    <t>Elective (Core Engineering Discipline)</t>
  </si>
  <si>
    <t>Group 2 &amp; Elective (Core Engineering Discipline)</t>
  </si>
  <si>
    <t>The course focuses on the optimal control of dynamical systems subject to constraints and uncertainty by studying analytical and computational methods leading to practical algorithms. Topics include calculus of variations, nonlinear local optimization, global stochastic search, dynamic programming, linear quadratic (gaussian) control, numerical trajectory optimization, model-predictive control. Advanced topics include approximate dynamic programming and optimal control on manifolds. The methods and algorithms will be illustrated through implementation of various simulated examples. Recommended Course Background: Linear Algebra and Differential Equations; experience with control systems; programming in MATLAB and/or Python.</t>
  </si>
  <si>
    <t>EN.535.606</t>
  </si>
  <si>
    <t>Advanced Strength Of Materials</t>
  </si>
  <si>
    <t>Group 1, Group 2, &amp; Electives (Core Engineering Discipline)</t>
  </si>
  <si>
    <t>This course reviews stress and strain in three dimensions, elastic and inelastic material behavior, and energy methods. It also covers use of the strength of materials approach to solving advanced problems of torsion and bending of beams. Prerequisite(s): Fundamental understanding of stress and strain and axial, torsion, and bending effects in linear elastic solids.</t>
  </si>
  <si>
    <t>EN.535.607</t>
  </si>
  <si>
    <t>Mechanics of Solids and Structures: Theory and Applications I</t>
  </si>
  <si>
    <t>This course provides an introduction to the mathematical and theoretical foundations of the mechanics of solids and structures. We will begin with the mathematical preliminaries used in continuum mechanics: vector and tensor calculus, then introduce 3D kinematics and strain measures, descriptions of stress in a 3D body, equilibrium, and constitutive rules. These concepts will be applied to develop the constitutive equations for solids, methods for solving boundary values problems that occur in engineering structures, energy methods and foundations of large deformation.</t>
  </si>
  <si>
    <t>EN.535.608</t>
  </si>
  <si>
    <t>Hypersonic Technologies and Systems</t>
  </si>
  <si>
    <t>“Hypersonics” is a general term used to describe flight at speeds greater than Mach 5 (or five times the sound speed). The technologies associated with hypersonic flight have been investigated for many decades and applications of hypersonic systems currently include ballistic missiles, re-entry vehicles, launch vehicles, and interceptor missiles. There is currently a resurgence in interest in new hypersonic applications for weapon applications, reusable aircraft, and reusable space launchers. With a view towards the history of hypersonics and developing worldwide trends, this course provides a survey of hypersonic technologies, systems and applications while addressing the underlying fundamental physics, analysis approaches, and design methodologies.</t>
  </si>
  <si>
    <t>EN.535.610</t>
  </si>
  <si>
    <t>Computational Methods of Analysis</t>
  </si>
  <si>
    <t>Group 2 (Computational/Recommended) &amp; Elective (Core Engineering Discipline)</t>
  </si>
  <si>
    <t>This course will provide an introduction to computational methods of analysis, with the aim of preparing the student to take a real-world problem and break it down to its component parts, perform computational analysis, and report findings in a comprehensive and informative manner. This course introduces the student to several application areas, and the corresponding computational tools, assumptions, and limitations. Throughout the course, the student will solve problems computationally in a hands-on manner, with a particular emphasis on tradeoffs between complexity, cost, and utility.</t>
  </si>
  <si>
    <t>EN.535.612</t>
  </si>
  <si>
    <t>Intermediate Dynamics</t>
  </si>
  <si>
    <t>This course develops student’s ability to accurately model the dynamics of single and multi-body engineering systems undergoing motion in 3D space. The course begins with formulating the differential geometry and kinematics of curvilinear coordinates to permit kinematic descriptions of relative motion and rotation of rigid bodies and mechanisms subject to common engineering constraints such as substructure interconnections, dry friction, and rolling. Momentum and inertia properties of rigid body dynamics follow. Students are then introduced to analytical dynamics, where Lagrange’s equations and Kane’s method are derived and studied to facilitate efficient formulation of the equations of motion governing the dynamics of systems subject to conservative and non-conservative forces and engineering constraints. The course also concludes with gyroscopic dynamics with applications to inertial guidance and spacecraft attitude dynamics. Prerequisite(s): Mathematics through calculus and linear algebra.</t>
  </si>
  <si>
    <t>EN.535.613</t>
  </si>
  <si>
    <t>Structural Dynamics and Stability</t>
  </si>
  <si>
    <t>This course introduces the propagation of elastic waves, and the loss of stability in engineering structures and systems. In the first part of the course, fundamental physical principles of elasticity and wave mechanics are reviewed and developed to provide students with the capability to model and analyze wave propagation, reflection, and refraction in isotropic and anisotropic engineering structures such as rods, beams, and plates. In the second part of the course, mechanical stability models are studied and applied in terms of dynamic behavior where the combined effects of vibration, gyroscopic motion, impact/shock, and buckling lead to new structural configurations or unstable motions that must often be avoided in design. Applications span nondestructive evaluation, composites, cables, aircraft/space structures, rotordynamics, aeroelasticity, civil engineering structures, and others. Prerequisite(s): Undergraduate or graduate course in vibrations.</t>
  </si>
  <si>
    <t>EN.535.614</t>
  </si>
  <si>
    <t>Fundamentals of Acoustics</t>
  </si>
  <si>
    <t>This course introduces the physical principles of acoustics and their application. Fundamental topics include the generation, transmission, and reception of acoustic waves. Applications covered are selected from acoustic arrays, underwater acoustics, architectural acoustics, and biomedical acoustics. Prerequisite(s): Some familiarity with linear algebra, complex variables, and differential equations.</t>
  </si>
  <si>
    <t>EN.535.618</t>
  </si>
  <si>
    <t>Fabricatology - Advanced Materials Processing</t>
  </si>
  <si>
    <t>The “Fabricatology” is a course that students can learn how to make desired shapes, structures, and surfaces across various length scales. It will introduce rich scientific and engineering knowledge related to fabrication at multiple length scales and the generated materials and mechanical systems can be utilized for studying diverse topics including energy harvesting, metamaterials, wetting, and information storage. From this course, students can learn principles and technologies to control shapes at various length scales and processes to control internal structures or surface properties for desired properties/functions. They will be also introduced to exciting recent developments in the field such as 3D printing so that they can have a comprehensive knowledge about the subject.</t>
  </si>
  <si>
    <t>EN.535.620</t>
  </si>
  <si>
    <t>Fluid Dynamics I</t>
  </si>
  <si>
    <t>This first graduate course in fluid dynamics starts from derivation of the flow equations and examines a number of limiting behaviors. When viscous effects are ignored all together, we obtain the familiar limit of potential flow. Boundary layer theory is introduced to examine the effect of viscosity near surfaces. And in the limit where viscosity is dominant, we obtain what is known as “creeping flow” where inertia can be ignored all together. Our approach will rely on developing the theory and considering classical examples in order to advance our understanding of fluid motion in each of these areas.</t>
  </si>
  <si>
    <t>EN.535.621</t>
  </si>
  <si>
    <t>Intermediate Fluid Dynamics</t>
  </si>
  <si>
    <t>This course prepares the student to solve practical engineering flow problems and concentrates on the kinematics and dynamics of viscous fluid flows. Topics include the control volume and differential formulations of the conservation laws, including the Navier-Stokes equations. Students examine vorticity and circulation, dynamic similarity, and laminar and turbulent flows. The student is exposed to analytical techniques and experimental methods, and the course includes an introduction to computational methods in fluid dynamics. It also includes a programming project to develop a numerical solution to a practical fluid flow problem. Prerequisite(s): An undergraduate fluid mechanics course.</t>
  </si>
  <si>
    <t>EN.535.622</t>
  </si>
  <si>
    <t>Robot Motion Planning</t>
  </si>
  <si>
    <t>This course investigates the motion planning problem in robotics. Topics include motion of rigid objects by the configurations space and retraction approaches, shortest path motion, motion of linked robot arms, compliant motion, coordinated motion of several objects, robust motion with error detection and recovery, and motion in an unknown environment</t>
  </si>
  <si>
    <t>EN.535.623</t>
  </si>
  <si>
    <t>Intermediate Vibrations</t>
  </si>
  <si>
    <t>Course topics include transient and forced vibration of 1- and N-degree-of-freedom systems and an introduction to vibration of continuous systems. Hamilton’s Principle and Lagrange’s equations are used throughout the course to derive the equation(s) of motion. MATLAB is introduced and used to solve the equations of motion and plot the response of the system. This course also addresses common topics in applied vibrations such as the environmental testing, the shock response spectrum, random vibration, vibration isolation, and the design of tuned-mass damper systems. Prerequisite(s): An undergraduate vibrations course.</t>
  </si>
  <si>
    <t>EN.535.625</t>
  </si>
  <si>
    <t>Turbulence</t>
  </si>
  <si>
    <t>Fundamental equations of fluid mechanics, Reynolds averaging, and the closure problem. Scaling and self-preservation in boundary-free and wall-bounded shear flows. Isotropic turbulence and spectral theories. Vorticity dynamics, intermittency, and cascade models. Turbulence modeling: one- and two-equation models, Reynolds stress modeling, and large-eddy simulations.</t>
  </si>
  <si>
    <t>EN.535.626</t>
  </si>
  <si>
    <t>Mechanics of Flight</t>
  </si>
  <si>
    <t>This course provides a comprehensive overview of aerodynamics, covering the principles and applications from subsonic to hypersonic flight. Students will explore key topics such as airfoil and wing theory, shock waves, high-temperature gas dynamics, and the design considerations for various flight regimes. The course combines theoretical foundations with practical insights, preparing students to analyze and optimize aerodynamic performance in modern aerospace engineering.</t>
  </si>
  <si>
    <t>EN.535.627</t>
  </si>
  <si>
    <t>Computer-Aided Design</t>
  </si>
  <si>
    <t>This course introduces the student to the intricacies of Computer-Aided Design (CAD) utilizing Creo Parametric. Throughout the course, students will acquire a comprehensive skill set encompassing sketching, solid part modeling, assembly modeling, drawing creation, advanced modeling techniques, sheet metal design, geometric dimensioning and tolerancing (GD&amp;T), as well as mechanisms and finite element analysis (FEA). The curriculum commences with an introduction to Creo Parametric, offering insights into its interface, sketching tools, and parametric design principles. Subsequently, students engage in a detailed exploration of solid part modeling, mastering 3D modeling techniques. Assembly modeling follows, emphasizing constraints, relationship management, and collaborative design principles for large assemblies. Participants also gain proficiency in creating 2D engineering drawings, utilizing annotation tools, and adhering to dimensioning and tolerancing standards. The course progresses to advanced modeling, incorporating features like surfacing and other advanced modeling techniques for real-world engineering applications. Sheet metal design principles are introduced, covering unfolding, bending techniques, and design considerations unique to sheet metal components. Students learn symbols, standards, and the application of GD&amp;T principles in CAD models. The exploration of CAD extends to mechanisms, incorporating kinematic analysis, modeling, simulation, and dynamic analysis. Finally, Finite Element Analysis (FEA) is introduced, covering basics, mesh generation, boundary conditions, and result interpretation. By the end of the course, students will be equipped with advanced skills in computer-aided design, positioning them for success in roles demanding proficiency in engineering design and analysis, especially using Creo Parametric but these skills extend to every CAD program.</t>
  </si>
  <si>
    <t>EN.535.628</t>
  </si>
  <si>
    <t>Computer-Integrated Design and Manufacturing</t>
  </si>
  <si>
    <t>This course emphasizes the computer automation of design and manufacturing systems. A survey of the automation techniques used for integration in modern design and manufacturing facilities is presented. Discussions are presented related to the system integration of computer-aided design (CAD), computeraided engineering (CAE), computer-aided manufacturing (CAM), robotics, material resource planning, tool management, information management, process control, and quality control. The current capabilities, applications, limitations, trends, and economic considerations are stressed.</t>
  </si>
  <si>
    <t>EN.535.630</t>
  </si>
  <si>
    <t>Kinematics &amp; Dynamics of Robots</t>
  </si>
  <si>
    <t>This course introduces the basic concepts and tools used to analyze the kinematics and dynamics of robot manipulators. Topics include kinematic representations and transformations, positional and differential kinematics, singularity and workspace analysis, inverse and forward dynamics techniques, and trajectory planning and control. Prerequisite(s): The course project and assignments will require some programming experience or familiarity with tools such as MATLAB.</t>
  </si>
  <si>
    <t>EN.535.632</t>
  </si>
  <si>
    <t>Applied Finite Elements</t>
  </si>
  <si>
    <t>This Applied Finite Elements course provides a wide-ranging exploration of the practical applications of finite element analysis (FEA) using both Creo Simulate and Ansys. Creo Simulate's integration with the Creo Parametric, a computer-aided design (CAD) tool, affords a number of advantages, most notably a remarkable efficiency in performing analyses and the possibility for Simulate to seamlessly manipulate the CAD model in performing design optimizations. Within Simulate, students will learn to perform linear structural static analyses of parts and assemblies. Students will also learn to represent preloaded bolts, create both solid and thin shell meshes, and improve the reliability of FEA results through convergence studies. Within Ansys, and industry standard FEA program, students will revisit the most common types of analyses, making some comparisons back to the results from Creo Simulate. Next, students will then learn to partition CAD geometry into mesh-able volumes then construct high quality hexahedral meshes. Finally, students perform a broad array of other simulation types that include transient structural, nonlinear materials, explicit dynamics, and computational fluid dynamics. Opportunities exist throughout the course to individually apply the techniques covered in ways applicable to students’ personal interests, career, or career ambitions.</t>
  </si>
  <si>
    <t>EN.535.633</t>
  </si>
  <si>
    <t>Intermediate Heat Transfer</t>
  </si>
  <si>
    <t>This course covers the following topics: transient heat conduction, forced and free convection in external and internal flows, and radiation processes and properties. Prerequisite(s): An undergraduate heat transfer course.</t>
  </si>
  <si>
    <t>EN.535.634</t>
  </si>
  <si>
    <t>Applied Heat Transfer</t>
  </si>
  <si>
    <t>This course focuses on the inevitable tradeoffs associated with any thermodynamic or heat transfer system, which result in a clear distinction between workable and optimal systems. The point is illustrated by means of a number of concrete problems arising in power and refrigeration systems, electronics cooling, distillations columns, heat exchange, and co-generation systems. Prerequisite(s): An undergraduate heat transfer course.</t>
  </si>
  <si>
    <t>EN.535.635</t>
  </si>
  <si>
    <t>Introduction to Mechatronics</t>
  </si>
  <si>
    <t>Mechatronics is the integration of mechanisms, electronics, and control. This interdisciplinary course is primarily lab and project based, but also includes lectures to provide background in key underlying principles. The course’s main objective is to provide experience designing and prototyping a mechatronic or robotic system to accomplish a specific task or challenge. Topics include mechanism design, motor and sensor integration and theory, programming of microprocessors, mechanics prototyping, and the design process. Students will work in teams to complete a hardware-based final project. Prerequisite(s): Mathematics through calculus and linear algebra.</t>
  </si>
  <si>
    <t>EN.535.638</t>
  </si>
  <si>
    <t>Mechanical Packaging for Electronics Systems</t>
  </si>
  <si>
    <t>This course will provide students with a fundamental understanding of the principles and techniques used to design and analyze the mechanical packaging of electronics systems. Lectures will include discussions on practical approaches to the design of enclosures, including manufacturability and assembly as well as analytical approaches to thermal and structural concerns. Upon completion of this course, students will have a clear understanding of the engineering considerations and tradeoffs used in developing rugged mechanical designs for electronics systems to be used in many environments.</t>
  </si>
  <si>
    <t>EN.535.639</t>
  </si>
  <si>
    <t>Aerospace Materials</t>
  </si>
  <si>
    <t>Aircraft materials have a come a long way from the early days of bamboo, muslin and bailing wire, and this course will accentuate processing-structure-property-performance relations is a variety of metallic alloys, ceramics and composites. Materials with applications in aeronautics, space and hypersonics will be emphasized, and topics will include: Al and Ti alloys, Co and Ni- based superalloys, refractory alloys; ceramic, metal and polymer-based composites; thermal protections systems; and dielectric windows and radomes.</t>
  </si>
  <si>
    <t>Mathematical Methods For Engineers</t>
  </si>
  <si>
    <t>Core Math</t>
  </si>
  <si>
    <t>This course covers a broad spectrum of mathematical techniques needed to solve advanced problems in engineering. Topics include linear algebra, the Laplace transform, ordinary differential equations, special functions, partial differential equations, and complex variables. Application of these topics to the solutions of physics and engineering problems is stressed. Prerequisite(s): Vector analysis and ordinary differential equations.</t>
  </si>
  <si>
    <t>EN.535.642</t>
  </si>
  <si>
    <t>Control Systems for Mechanical Engineering Applications</t>
  </si>
  <si>
    <t>This class provides a comprehensive introduction to the theory and application of classical control techniques for the design and analysis of continuous-time control systems for mechanical engineering applications. Topics include development of dynamic models for mechanical, electrical, fluid-flow and process-control systems, introduction to Laplace transforms, stability analysis, time and frequency domain analysis techniques, and classical design methods. The class will use a series of applications that build in complexity throughout the semester to emphasize and reinforce the material.</t>
  </si>
  <si>
    <t>EN.535.643</t>
  </si>
  <si>
    <t>Plasticity</t>
  </si>
  <si>
    <t>This course explores the inelastic behavior of engineering materials, beginning with the physical origins of plasticity and the fundamental mechanisms that govern material strength. The curriculum integrates macro-scale theories, including yield criteria, flow rules, and hardening models, with microscopic mechanisms such as dislocation plasticity and activation volume analysis. Furthermore, students will examine models of both viscoelasticity and viscoplasticity before the course concludes with a rigorous treatment of large deformation theory.</t>
  </si>
  <si>
    <t>EN.535.644</t>
  </si>
  <si>
    <t>Large Language Models: Theory and Applications to Mechanical Engineering</t>
  </si>
  <si>
    <t>Prerequisite(s): ***Mechanical Engineering students only***Must complete EN.535.641 Math Methods first.</t>
  </si>
  <si>
    <t>EN.535.645</t>
  </si>
  <si>
    <t>Digital Control and Systems Applications</t>
  </si>
  <si>
    <t>This class will provide a comprehensive treatment of the analysis and design of discrete-time control systems. The course will build upon the student’s knowledge of classical control theory and extend that knowledge to the discretetime domain. This course is highly relevant to aspiring control systems and robotics engineers since most control system designs are implemented in micro-processors(hence the discrete-time domain) vice analog circuitry. Additionally, the course will go into advanced control system designs in the state-space domain and will include discussions of modern control design techniques including linear-quadratic optimal control design, pole-placement design, and state-space observer design. The class will use a series of applications that build in complexity throughout the semester to emphasize and reinforce the material.</t>
  </si>
  <si>
    <t>EN.535.652</t>
  </si>
  <si>
    <t>Thermal Systems Design and Analysis</t>
  </si>
  <si>
    <t>Thermodynamics, fluid mechanics, and heat transfer principles are applied using a systems perspective to enable students to analyze and understand how interactions between components of piping, power, refrigeration, and thermal management systems affect the performance of the entire system. Following an overview of the fundamental principles involved in thermal and systems analyses, the course will cover mathematical methods needed to analyze the systems and will then explore optimization approaches that can be used to improve designs and operations of the thermal systems to minimize, for example, energy consumption or operating costs. Students are expected to perform basic computer programming in a language chosen by the student (e.g., Matlab, Python, etc). Example Matlab code to complement the course content will be provided by the instructor. Prerequisite(s): Undergraduate courses in thermodynamics and heat transfer.</t>
  </si>
  <si>
    <t>EN.535.659</t>
  </si>
  <si>
    <t>Manufacturing Systems Analysis</t>
  </si>
  <si>
    <t>This course is a review of the fundamentals of modern manufacturing processes, computer-aided design/ manufacturing tools, flexible manufacturing systems, and robots. The course addresses relationships between process machinery, process conditions, and material properties. Examples of how components are manufactured within hightech industries are presented.</t>
  </si>
  <si>
    <t>EN.535.660</t>
  </si>
  <si>
    <t>Precision Mechanical Design</t>
  </si>
  <si>
    <t>This course will provide the student with a fundamental understanding of the principles and techniques used to design precision machines, instruments, and mechanisms. Lectures will include discussions on the implementation and design of mechanisms, bearings, actuators, sensors, structures, and precision mounts used in precision design. Upon completion of this course, students will have a clear understanding of positional repeatability and accuracy, deterministic design, exact constraint design, error modeling, and sources of machine and instrumentation errors.</t>
  </si>
  <si>
    <t>EN.535.661</t>
  </si>
  <si>
    <t>Biofluid Mechanics</t>
  </si>
  <si>
    <t>Introduction to fundamental fluid mechanics of physiological systems including the blood flow in the cardiovascular system and the air flow in the laryngeal and respiratory systems. Basic physiology of those systems will be introduced. Fundamental principles and mathematical/physical models for the air and blood flows in the physiological systems and their practical applications will be discussed. Simple computer models with MATLAB will be used in the course.</t>
  </si>
  <si>
    <t>EN.535.662</t>
  </si>
  <si>
    <t>Energy and Environment</t>
  </si>
  <si>
    <t>The course focuses on the impacts of energy consumption and generation on the environment. Second law thermodynamic analysis will be used to help understand the quality of different energy sources and to assess whether they are being used to their fullest abilities. Given the attention given to climate change, greenhouse gas emissions from the energy sector will be evaluated. Life Cycle Assessment will be introduced to help understand broader environmental impacts from the acquisition of raw materials to the disposal of devices and equipment. The course will examine the key places where energy is used in the economy (buildings, industry, transportation) then transition to key sources of energy and issues in generation of energy (utilities, nuclear energy, alternative energy, energy storage, water-energy nexus).</t>
  </si>
  <si>
    <t>EN.535.663</t>
  </si>
  <si>
    <t>Biosolid Mechanics</t>
  </si>
  <si>
    <t>This class will introduce fundamental concepts of statics and solid mechanics and apply them to study the mechanical behavior bones, blood vessels, and connective tissues such as tendon and skin. Topics to be covered include the structure and mechanical properties of tissues, such as bone, tendon, cartilage and cell cytoskeleton; concepts of small and large deformation; stress; constitutive relationships that relate the two, including elasticity, anisotropy, and viscoelasticity; and experimental methods for measuring mechanical properties.</t>
  </si>
  <si>
    <t>EN.535.664</t>
  </si>
  <si>
    <t>Fundamental Principles for Bio-microfluidic Systems</t>
  </si>
  <si>
    <t>Through lectures and team-projects, this course illustrates the fundamental design principles and applications of microfluidic system for biological and biomedical applications. Topics to be covered include issues associated with being in micrometers in science and engineering, fluid mechanics in micro systems, surface tension, wetting phenomena, electrokinetic phenomena in microscale. The course is not intended to provide students with extensive training in particular design and fabrication processes of such systems. However, students will learn to apply particular microfluidic object manipulation principle to design an innovative, conceptual microfluidic system. Undergraduate level of Fluid Mechanics and Thermodynamics and completion of a term project are required.</t>
  </si>
  <si>
    <t>EN.535.667</t>
  </si>
  <si>
    <t>Biomechanics of Human Movement</t>
  </si>
  <si>
    <t>This course explores the methods and underlying principles for the modeling and analysis of human motion. The course begins with the fundamentals of human motion from walking through running. Next, the biology and stimuli needed to produce motion through the coordinated action of musculoskeletal system will be covered. Typical methods used to quantify the kinematics and kinetics of motion will be taught along with optimization techniques needed for analysis. Finally, the simulation of muscle driven locomotion will be taught for walking and running, as well as some discussion of the role of assistive devices.</t>
  </si>
  <si>
    <t>EN.535.670</t>
  </si>
  <si>
    <t>Advanced Aerodynamics</t>
  </si>
  <si>
    <t>This course provides the basic aerodynamic concepts and tools for aerospace vehicle design and analysis, focusing on physical-based approaches with some introduction to numerical-based methods, where experimental wind tunnel or flight test data are considered as the benchmark results. The physical-based part will emphasize inviscid-incompressible flow followed by inviscid-compressible flow and introducing some basic elements of viscous flow plus a brief introduction to computational fluid dynamics (CFD), as the numerical-based methods.</t>
  </si>
  <si>
    <t>EN.535.671</t>
  </si>
  <si>
    <t>Aerospace Materials, Structures and Design</t>
  </si>
  <si>
    <t>Prerequisite(s): ***Mechanical Engineering students only: Must complete core course first ( EN.535.641 Mathematical Methods for Engineers).</t>
  </si>
  <si>
    <t>EN.535.672</t>
  </si>
  <si>
    <t>Advanced Manufacturing Systems</t>
  </si>
  <si>
    <t>This course examines the effect that new technology, engineering, and business strategies have on transforming US industry into a world-class, competitive force. Emphasis is placed on the state of the art of factory automation and computer-integrated manufacturing. Topics include advanced manufacturing processes, rapid prototyping, intelligent manufacturing controls, and information technology in manufacturing. Technical principles related to advanced manufacturing are presented. Examples of actual production systems illustrate how industry is adopting the latest technology to meet customer requirements for quality, low cost, and flexibility.</t>
  </si>
  <si>
    <t>EN.535.673</t>
  </si>
  <si>
    <t>Mechanized Assembly: Hardware and Algorithms</t>
  </si>
  <si>
    <t>Generally speaking, manufacturing engineering consists of two large subtopics: fabrication and assembly. This course covers topics in the design and analysis of mechanized assembly systems such as those used in parts feeding and pick-andplace machines. Specific topics will include: Describing Planar and Spatial Rotations, Planar Linkages (4-Bar, Crank-sliders), Classical Theory of Gears, Differential Geometry Methods, Singularities of Mechanisms and Robots, Spatial Linkage Synthesis and Screw Theory, Transmissions and Spatial Gearing, Automated Parts Transfer (Fences and Bowl Feeders), Assembly Planning, Tolerancing, Parts Entropy, Deployable Mechanism Design.</t>
  </si>
  <si>
    <t>EN.535.674</t>
  </si>
  <si>
    <t>Smart Manufacturing and Automation</t>
  </si>
  <si>
    <t>This course explores the convergence of smart manufacturing and automation by examining smart product realization techniques, digital factories, disruptive manufacturing technologies, and the role of additive manufacturing. Students will delve into digital twins, predictive maintenance, leverage IoT sensor networks for real time data collection, apply advanced data and AI analytics for decision support, utilize manufacturing performance simulation and network centric modeling, and develop strategies for optimizing production workflows and rapid product development.</t>
  </si>
  <si>
    <t>EN.535.681</t>
  </si>
  <si>
    <t>Design and Analysis of Experiments</t>
  </si>
  <si>
    <t>Students of this course will acquire the foundational skillset needed to plan, execute, and analyze results from experimental campaigns across various engineering disciplines. Through a blend of theory and practice, the course will review methods of statistical analysis, design of experiments (DoE), measurement instrumentation, and capabilities of modern experimental facilities. This course will equip students with experience in test planning and data analysis relevant for both research and commercial testing applications.</t>
  </si>
  <si>
    <t>EN.535.684</t>
  </si>
  <si>
    <t>Modern Polymeric Materials</t>
  </si>
  <si>
    <t>Through lectures and in class demonstrations, this course covers a broad range of topics in the polymeric materials science and engineering field. We will address the structure and property relationships in thermoplastics, thermoset, amorphous, semicrystalline, oriented and biological polymeric materials; synthesis and processing (including rheology) of polymers; flow and fracture of polymeric materials under different conditions. Modern polymer characterization techniques will be introduced. Frontiers in the recent findings in biopolymers, polymer based 3D printing, polymers for tissue engineering will also be discussed. The course is not intended to provide students with extensive training in particular polymer area, but rather a general overview of the key topics in modern polymeric materials.</t>
  </si>
  <si>
    <t>EN.535.691</t>
  </si>
  <si>
    <t>Haptic Interface Design</t>
  </si>
  <si>
    <t>This course provides an introduction to haptic interface design and analysis for human-robot interaction involving virtual environments, augmented reality, and teleoperation. Topics include human touch perception, haptic-focused mechatronic design, system modeling and analysis (kinematic and dynamic), human-in-the-loop feedback control, and haptic feedback evaluation. Recommended: coursework or knowledge of Dynamics and knowledge of feedback control, mechatronics, and Matlab.</t>
  </si>
  <si>
    <t>EN.535.693</t>
  </si>
  <si>
    <t>Fabrication of Biomaterials, Engineering Tissues, and Food</t>
  </si>
  <si>
    <t>Students will learn how to manufacture biocompatible or cell-encapsulated materials for various purposes, including applications in regenerative medicine, individualized drug screening and animal-free meat production.</t>
  </si>
  <si>
    <t>EN.535.706</t>
  </si>
  <si>
    <t>Mechanics of Solids and Structures: Theory and Applications II</t>
  </si>
  <si>
    <t>This course provides an overview of the area of the mechanics of solids and materials, with the intent of providing the foundation for graduate students interested in research that involves these disciplines. The course is based on the principles of continuum mechanics, and covers the fundamental concepts of elasticity, plasticity, and fracture as applied to materials. One objective is to get graduate students to the point that they can understand significant fractions of research seminars and papers in this area. This mathematically rigorous course emphasizes the setup and solution of boundary value problems in mechanics, and attempts to integrate the primary behaviors with deformation and failure mechanisms in materials. This course does not require Mechanics of Solids and Structures: Theory and Applications I as a prerequisite. It is recommended that students taking this course have taken a prior course in Mechanics of Materials, preferably at the upper-level undergraduate level.</t>
  </si>
  <si>
    <t>EN.535.720</t>
  </si>
  <si>
    <t>Mechanics of Composite Materials and Structures</t>
  </si>
  <si>
    <t>Topics in this course include anisotropic elasticity, laminate analysis, strength of laminates, failure theories, bending, buckling, and vibration of composite plates. The second part of the course is devoted to the applications of the structural analysis of composite structures by means of finite-elements computer codes.</t>
  </si>
  <si>
    <t>EN.535.721</t>
  </si>
  <si>
    <t>Advanced Composite Materials &amp; Manufacturing Processes</t>
  </si>
  <si>
    <t>This course offers an in-depth exploration of advanced composite materials and manufacturing processes used to build lightweight, high-performance composite and adhesive bonded structures ideal for applications in aerospace, automotive, energy, infrastructure, marine vessels, and more. The course explores advanced composites, typically described as continuous fiber-reinforced polymer matrix laminates with exceptional strength, stiffness, and low weight. Additional topics include fundamentals of polymer matrix composites (PMCs), properties of high-performance reinforcements and matrices, manufacturing processes used to produce solid laminates and sandwich panels, laminate design considerations, and physical and mechanical testing. Through lectures, readings, assignments, and a final design and manufacturing project, students will gain broad experience in composite material selection, manufacturing processes, and design of these exceptional lightweight structures for demanding engineering applications.</t>
  </si>
  <si>
    <t>EN.535.724</t>
  </si>
  <si>
    <t>Dynamics of Robots and Spacecraft</t>
  </si>
  <si>
    <t>This course provides an introduction to Lagrangian mechanics with application to robot and spacecraft dynamics and control. Topics include rigid body kinematics, efficient formulation of equations of motion by using Lagrange’s equations, solutions of equations of motion, Hamilton’s principle, and introduction to stability and control theory.</t>
  </si>
  <si>
    <t>EN.535.731</t>
  </si>
  <si>
    <t>Engineering Materials: Properties and Selection</t>
  </si>
  <si>
    <t>Become familiar with different classes of engineering materials and their tradeoffs associated with design criteria such as strength, toughness, corrosion resistance, and fabricability, as well as some common test methods for evaluating material properties. This course will concentrate on metal alloys but will also consider polymers and ceramics. Topics specific to metals will include effects of work hardening and heat treatment, corrosion, and elevated temperature properties. Topics specific to polymers will include viscoelasticity, stress relaxation and creep, and phase transitions. Topics specific to ceramics will include flaw-dominated strength, fracture energy, and statistical determination of strength. The course also includes an introduction to the Ashby method of material selection and optimization.</t>
  </si>
  <si>
    <t>EN.535.732</t>
  </si>
  <si>
    <t>Fatigue and Fracture of Materials</t>
  </si>
  <si>
    <t>This course will introduce the theory and application of fracture mechanics. The perspectives of multiple disciplines including mechanics, materials, manufacturing, statistics, and nondestructive evaluation will be integrated to develop a holistic view of design and sustainment of fatigue-limited structures. The course will provide a solid foundation of classic approaches to solving fatigue and fracture problems while simultaneously discussing the underlying physical mechanisms that drive material behavior. These methods will be applied during the latter part of the course in a group project where you work with a team on a simulated failure investigation. You will use your knowledge of fracture mechanics and emerging software tools to develop a safety risk assessment for a simulated aviation mishap. Prerequisites: Undergraduate or introductory courses in materials and mechanics and the ability to write code in MATLAB or another language is highly recommended.</t>
  </si>
  <si>
    <t>EN.535.733</t>
  </si>
  <si>
    <t>Micromechanics of Heterogeneous Materials and Composites</t>
  </si>
  <si>
    <t>This course introduces core concepts in the micromechanics of heterogeneous materials and composites. Micromechanics is the study of the relationship between macroscopic material behavior and properties of its constituents. The course begins with fundamental concepts in mechanics such as tensor and matrix algebra, stress and strain, balance laws, isotropic and anisotropic linear elasticity, and boundary value problems. The course then focuses heavily on micromechanics topics including representative volume elements, Voigt and Reuss bounds, Eshelby’s equivalent inclusion method, dilute distribution and self-consistent methods, Hashin-Shtrikman bounds, Mori-Tanaka theory, and microstructure characterization and generation. Applications of these topics are provided for particulate and matrix-based composites, fiber-reinforced composites (e.g., laminates), materials with microcracks, and materials with periodic microstructures. Students will leave the course able to make property predictions for a broad range of heterogeneous materials. Prerequisite: A prior course on the mechanics of materials at the advanced undergraduate level or above.</t>
  </si>
  <si>
    <t>EN.535.734</t>
  </si>
  <si>
    <t>Ultra-high Temperature Materials</t>
  </si>
  <si>
    <t>This is a treatise course on high temperature materials. The primary objective of this course is to provide an introduction to processing, characterization, and properties of various types of materials suitable for extreme environment applications including alloys, ceramics, composites, and carbons. The course will discuss both established high temperature materials and recent advances in high temperature materials development. Other topics to be covered include thermodynamics and kinetics in materials chemistry and structure-property relations.</t>
  </si>
  <si>
    <t>EN.535.735</t>
  </si>
  <si>
    <t>Computational Fluid Dynamics</t>
  </si>
  <si>
    <t>This is a three-branch course covering theory, implementation, and application of computational fluid dynamics (CFD). The theory side covers the basics of CFD, finite volume discretization schemes, time integration, solution of systems of equations, boundary conditions, error analysis, turbulence models, and meshing. On the implementation side students will implement a number of small-scale CFD solvers and pre-processing tools in order to get a working knowledge of the simulation process. The application side covers the use of fully featured, readily available CFD solver to study an array of gradually complex flow phenomena.</t>
  </si>
  <si>
    <t>EN.535.737</t>
  </si>
  <si>
    <t>Multiscale Modeling and Simulation of Mechanical Systems</t>
  </si>
  <si>
    <t>This course offers an in-depth exploration of the principles, methodologies, and applications of multiscale modeling for mechanical systems. This course is designed to bridge the gap between theoretical concepts and practical implementation, the course provides students with a solid foundation in the techniques that span multiple length and time scales, essential for designing and analyzing complex engineering systems. Through a balanced mix of lectures, discussions, case studies, and hands-on applications, students will gain proficiency in both microscopic and macroscopic modeling techniques, including the finite element method, molecular dynamics, ab-initio approaches, and data-driven methodologies. By the end of the course, students will be equipped with the necessary skills to address and solve real-world engineering challenges, making them adept at applying advanced modeling techniques in both academic and industrial settings.</t>
  </si>
  <si>
    <t>EN.535.741</t>
  </si>
  <si>
    <t>Optimal Control and Reinforcement Learning</t>
  </si>
  <si>
    <t>This course will explore advanced topics in nonlinear systems and optimal control theory, culminating with a foundational understanding of the mathematical principals behind Reinforcement learning techniques popularized in the current literature of artificial intelligence, machine learning, and the design of intelligent agents like Alpha Go and Alpha Star. Students will first learn how to simulate and analyze deterministic and stochastic nonlinear systems using well-known simulation techniques like Simulink and standalone C++ Monte-Carlo methods. Students will then be introduced to the foundations of optimization and optimal control theory for both continuous- and discrete- time systems. Closed-form solutions and numerical techniques like co-location methods will be explored so that students have a firm grasp of how to formulate and solve deterministic optimal control problems of varying complexity. Discrete-time systems and dynamic programming methods will be used to introduce the students to the challenges of stochastic optimal control and the curse-of-dimensionality. Supervised learning and maximum likelihood estimation techniques will be used to introduce students to the basic principles of machine learning, neural-networks, and back-propagation training methods. The class will conclude with an introduction of the concept of approximation methods for stochastic optimal control, like neural dynamic programming, and concluding with a rigorous introduction to the field of reinforcement learning and Deep-Q learning techniques used to develop intelligent agents like DeepMind's Alpha Go.</t>
  </si>
  <si>
    <t>EN.535.742</t>
  </si>
  <si>
    <t>Applied Machine Learning for Mechanical Engineers</t>
  </si>
  <si>
    <t>This course covers machine learning fundamentals (e.g., optimization, perceptron, and universal approximation), some popular and advanced machine learning techniques (e.g., Supervised, Unsupervised, Probabilistic, Convolutional, and Generative Networks), and supercomputing techniques (with a focus on MARCC) to address mechanical engineering-related machine learning problems. The course requires Python 3+ programming skills; a free 3-hour Python 3+ tutorial will be provided to those who need to learn Python.</t>
  </si>
  <si>
    <t>EN.535.743</t>
  </si>
  <si>
    <t>Intermediate Applied Artificial Intelligence in Mechanical Engineering</t>
  </si>
  <si>
    <t>This course offers an applied understanding of artificial intelligence (AI) and machine learning (ML). It covers topics such as machine learning models, Python essentials, and cloud-based platforms, and specialized subjects such as object detection, generative models, AI security, and natural language processing (NLP). Through a blend of theoretical instruction and hands-on exercises, students will master the algorithms, methodologies, and tools required to solve complex engineering challenges using AI. Students will develop ML models using TensorFlow and limited PyTorch, object detection techniques such as SSD (Single Shot Detector) and YOLO (You Only Look Once), generative models such as generative adversarial networks (GANs), and various NLP implementations. They will also learn how to secure AI systems against adversarial attacks and complete exercises on application programming interfaces (APIs), cloud computing, and web development frameworks such as Flask. Emphasis will be placed on real-world applications and state-of-the-art technologies to equip students with the skills required to implement AI solutions effectively and securely in various engineering contexts.</t>
  </si>
  <si>
    <t>EN.535.744</t>
  </si>
  <si>
    <t>AI for Mechanical Materials Design</t>
  </si>
  <si>
    <t>This course provides mechanical engineering students with practical knowledge in using machine learning (ML) and artificial intelligence (AI) to revolutionize materials design and manufacturing processes. Students will gain hands-on experience in building and managing databases, extracting meaningful data, and engineering features tailored to predict mechanical properties. Key skills include developing and optimizing machine learning models, conducting rigorous validation, and implementing active learning strategies to accelerate materials discovery. Through targeted case studies involving structural alloys, composites, and advanced ceramics, students will see firsthand how ML and AI enhance performance and innovation in mechanical engineering materials. Participants will utilize cutting-edge open-source tools such as scikit-learn and TensorFlow, alongside specialized platforms. By the end of the course, students will have built a practical portfolio showcasing their proficiency in applying informatics to mechanical engineering, preparing them for industry and research.</t>
  </si>
  <si>
    <t>EN.535.745</t>
  </si>
  <si>
    <t>Advanced Reinforcement Learning for Autonomous and Robotic Systems</t>
  </si>
  <si>
    <t>Advanced Deep Reinforcement Learning (DRL) explores the theory and practice of training autonomous agents to make intelligent decisions in complex, dynamic, uncertain, and adversarial environments. The course covers core concepts and modern high-performance methods for robotics and autonomous systems, linking techniques to real-world applications such as autonomous aerial combat research, self-driving vehicles, autonomous drones, and robotic platforms ranging from industrial manufacturing cells to state-of-the-art legged and bipedal humanoids (e.g., Boston Dynamics’ Atlas).The course builds a strong foundation in the principles and state-of-the-art methods that power modern DRL. Topics include neural architectures (MLPs, CNNs, RNNs), advanced model-free algorithms (PPO, SAC), model-based DRL (Dreamer, recurrent state-space models, and learned latent dynamics), and attention/Transformer mechanisms for high-dimensional observations and long-horizon credit assignment.Students gain hands-on experience designing single-agent and multi-agent systems for cooperative and competitive tasks, with emphasis on temporal abstraction and latent embeddings to handle uncertainty and partial observability. The course also addresses scalable DRL engineering: standardized environments, experience replay, distributed actor–learner training, and continuous evaluation. Labs and projects use PyTorch, OpenAI Gym and DeepMind Control Suite, and Ray RLlib. Graduates leave prepared to build robust, high-performance DRL agents for research or production.</t>
  </si>
  <si>
    <t>EN.535.748</t>
  </si>
  <si>
    <t>Stress Waves, Impacts and Shockwaves</t>
  </si>
  <si>
    <t>Elastic waves in unbounded media. Elastic waveguides. Waves in elastic-plastic and nonlinear elastic materials. Analysis of impact on materials and structures. Impact on various scales, from planetary to microscopic. Shock waves. Impact signatures in materials (time permitting).</t>
  </si>
  <si>
    <t>EN.535.750</t>
  </si>
  <si>
    <t>Biomechanics of the cell: From nano- and micro-mechanics to cell organization and function</t>
  </si>
  <si>
    <t>Mechanical aspects of the cell are introduced. Discussion of the role of proteins, membranes and cytoskeleton in cellular function and how to describe them using simple mathematical models.</t>
  </si>
  <si>
    <t>EN.535.752</t>
  </si>
  <si>
    <t>Advanced Flight Dynamics and Control of Aerospace Vehicles</t>
  </si>
  <si>
    <t>This course is an introduction to the mathematical derivation, behavioral insight into and control of the dynamics of aerospace vehicles. The course will cover current vehicles of interest ranging from small unmanned aircraft, to hypersonic aircraft and spacecraft in earth orbit. Starting from first principles in vector math and conservation of linear and angular momentum in inertial and non-inertial (rotating) coordinate systems we will develop the fundamental equations of motion that describe the flight of these vehicles. Because understanding is best achieved through hands on experience students will develop and implement the necessary vector math, transformations, earth environment models and rigid body dynamics in MATLAB; the models you develop will directly parallel and follow the progression of the course ultimately realizing a full nonlinear 6-degree-of-freedom simulation of an aircraft that we will use to investigate and understand the nature of their dynamic motion and to discover and implement control systems to change and improve their natural dynamic response.</t>
  </si>
  <si>
    <t>EN.535.754</t>
  </si>
  <si>
    <t>Smart and Network-centric Manufacturing</t>
  </si>
  <si>
    <t>This virtual course covers foundational elements of smart and network-centric manufacturing, including automation, product realization, digital factories, and emerging manufacturing technologies. Participants will examine the roles of additive manufacturing, manufacturing simulation, and process efficiency within select manufacturing contexts, as well as automation strategies designed to facilitate rapid product development. Additionally, the course features presentations by leading experts in the field.</t>
  </si>
  <si>
    <t>EN.535.761</t>
  </si>
  <si>
    <t>Hypersonic Aerothermodynamics</t>
  </si>
  <si>
    <t>The course objective is to demonstrate the design process of a hypersonic vehicle’s thermal protection system (TPS). The first half of the course analyzes the inviscid flow-field surrounding blunt and slender bodies traveling at high speeds. Topics include compressible gas dynamics, high-temperature physics, and reacting flows. The second half of the course then uses the flow field predictions to calculate the aerothermal loads and material response of the TPS. Topics include compressible boundary layers, material ablation, and thermal conduction into the TPS. The students will solve a combination of theoretical and numerical problems using MATLAB or Python, culminating in a final design project.</t>
  </si>
  <si>
    <t>EN.535.762</t>
  </si>
  <si>
    <t>Guidance, Navigation and Controls for Hypersonic Vehicles</t>
  </si>
  <si>
    <t>Hypersonic flight remains a challenging task in the aerospace research and industry. This course covers the topic of Guidance, Navigation and Controls (GNC) with an emphasis on GNC of hypersonic vehicles. It will review the concepts of aerospace systems kinematics and dynamics. Students will be introduced to optimal control theory with some classical applications like Zermelo’s Navigation Problem, Minimum-Time to Climb Problem, etc. Students will also learn about nonlinear control theory with applications in spacecraft attitude stabilization and tracking. Finally, students will be introduced to estimation techniques and their use in GNC. The most up-to-date challenges in hypersonic GNC will be presented. The course will take an applied route. Students will be required to read and discuss research articles and work on projects.</t>
  </si>
  <si>
    <t>EN.535.763</t>
  </si>
  <si>
    <t>Aerospace Propulsion</t>
  </si>
  <si>
    <t>This course provides a technical perspective on the predominant aerospace propulsion systems in use today, as well as the systems and technologies currently under development for advanced future applications. The goal is to equip professional engineers with a broad technical understanding of both state-of-the-art and emerging propulsion systems, as well as the foundational tools necessary for analyzing and assessing these systems for targeted applications. The course covers fundamental concepts and techniques for propulsion system analysis and design, including thermodynamics, compressible gas dynamics, and combustion chemistry. It then delves into space (rocket) vehicle analysis and propulsion system design, followed by aircraft propulsion, encompassing aircraft performance analysis, piston engines, gas turbine engines, and ramjet engines. The final portion of the course focuses on emerging technologies such as electric propulsion, eVTOL, hypersonic (scramjet), and detonation-cycle (pulse detonation and rotating detonation wave) engines. Recommended for students with basic familiarity in fluid mechanics, thermodynamics, and numerical solvers (e.g., MATLAB or Python) from undergraduate coursework, this course is otherwise self-contained and has no formal prerequisites.</t>
  </si>
  <si>
    <t>EN.535.766</t>
  </si>
  <si>
    <t>Numerical Methods</t>
  </si>
  <si>
    <t>Most problems encountered in engineering and physics applications involve the solution of partial differential equations (PDEs). The analytical solution of PDEs is not generally available and one viable way to find the particular solution is by using numerical methods. Numerical methods enable us to find a numerical solution of the PDE by converting the PDE into a set of algebraic equations. To obtain a reliable and accurate numerical solution of the PDE, however, one should apply an appropriate numerical method with proper parameters depending on the types and properties of the PDE. While a number of tools to find the numerical solutions are available these days, the knowledge on the numerical methods will greatly help you to choose the right tool and set the correct parameters. In this course, a comprehensive introduction to the numerical methods for solving PDEs encountered in engineering and physics will be given. Mathematical analyses to identify the types and properties of the PDEs and the way to choose the proper numerical method to solve the given PDE will be introduced. Assessments of the stability and accuracy of each numerical method will also be discussed. For hands-on experience on applying the numerical methods, MATLAB or Python programming will be used for homework assignments and the final project. The knowledge you obtain throughout this course will make you more confident in applying numerical methods to deal with complex mathematical problems you may encounter in your career.</t>
  </si>
  <si>
    <t>EN.535.771</t>
  </si>
  <si>
    <t>Naval Architecture Design</t>
  </si>
  <si>
    <t>Design and analyze maritime vessels using the principles of Naval Architecture and Marine Engineering. This course bridges theory and practice through lectures, skill-building assignments, and a capstone design project. Students will delve into key topics such as vessel geometry, structural and hydrostatic analyses, dynamic stability, and propulsion systems. Emphasizing practical application, the course integrates systems architecture principles including trade studies and adherence to design requirements. This course is for engineers interested in maritime projects, applied engineering systems, or advancing their skill set in Naval Architecture. Proficiency in MATLAB/Python and CAD design tools is recommended but not required.</t>
  </si>
  <si>
    <t>EN.535.773</t>
  </si>
  <si>
    <t>Acoustical Oceanography</t>
  </si>
  <si>
    <t>Acoustical Oceanography will cover how active and passive use of sound can be used to study physical parameters and processes, as well as biological species and behaviors, in the ocean environment. The first half of the course will focus on the underlying physics of sound propagation, generation, reception, and scattering in the ocean environment. This foundation will then be leveraged and expanded upon to explore applications of acoustical oceanography for physical, geological, and biological insight through both direct and inverse methods. Throughout the course current research topics will be presented including acoustic tomography, geologic bottom inversion, and marine mammal characterization.</t>
  </si>
  <si>
    <t>EN.535.782</t>
  </si>
  <si>
    <t>Haptic Applications</t>
  </si>
  <si>
    <t>An introduction to the required theoretical and practical background in the design and development of haptic applications. Haptic technology enables users to touch and/or manipulate virtual or remote objects in simulated environments or tele-operation systems. This course aims to cover the basics of haptics through lectures, assignments, and readings on current topics in haptics. Prerequisite(s): Recommended course background: graduate and senior undergraduate students who are enthusiastic to learn about haptics and basic familiarity with MATLAB.</t>
  </si>
  <si>
    <t>applied_and_computational_mathematics</t>
  </si>
  <si>
    <t>EN.625.601</t>
  </si>
  <si>
    <t>Real Analysis</t>
  </si>
  <si>
    <t>This course presents a rigorous treatment of fundamental concepts in analysis. Emphasis is placed on careful reasoning and proofs. Topics covered include the completeness and order properties of real numbers, limits and continuity, conditions for integrability and differentiability, infinite sequences, and series. Basic notions of topology and measure are also introduced. Prerequisite(s): Multivariate calculus.</t>
  </si>
  <si>
    <t>EN.625.602</t>
  </si>
  <si>
    <t>Modern Algebra</t>
  </si>
  <si>
    <t>This course examines the structures of modern algebra, including groups, linear spaces, rings, polynomials, and fields, and some of their applications to such areas as cryptography, primality testing and the factorization of composite numbers, efficient algorithm design in computing, circuit design, and signal processing. It will include an introduction to quantum information processing. Grading is based on weekly problem sets, a midterm, and a final. Prerequisite(s): Multivariate calculus and linear algebra.</t>
  </si>
  <si>
    <t>EN.625.603</t>
  </si>
  <si>
    <t>Statistical Methods and Data Analysis</t>
  </si>
  <si>
    <t>This course introduces statistical methods that are widely used in modern applications. A balance is struck between the presentation of the mathematical foundations of concepts in probability and statistics and their appropriate use in a variety of practical contexts. Foundational topics of probability, such as probability rules, related inequalities, random variables, probability distributions, moments, and jointly distributed random variables, are followed by foundations of statistical inference, including estimation approaches and properties, hypothesis testing, and model building. Data analysis ranging from descriptive statistics to the implementation of common procedures for estimation, hypothesis testing, and model building is the focus after the foundational methodology has been covered. Software, for example R-Studio, will be leveraged to illustrate concepts through simulation and to serve as a platform for data analysis. Prerequisite(s): Multivariable Calculus, Calc III.</t>
  </si>
  <si>
    <t>EN.625.604</t>
  </si>
  <si>
    <t>Ordinary Differential Equations</t>
  </si>
  <si>
    <t>This course provides an introduction to the theory, solution, and application of ordinary differential equations. Topics discussed in the course include methods of solving first-order differential equations, existence and uniqueness theorems, second-order linear equations, power series solutions, higher-order linear equations, systems of equations, non-linear equations, SturmLiouville theory, and applications. The relationship between differential equations and linear algebra is emphasized in this course. An introduction to numerical solutions is also provided. Applications of differential equations in physics, engineering, biology, and economics are presented. This course covers more material at greater depth than the standard undergraduate-level ODE course. Prerequisite(s): Two or more terms of calculus are required. Course in linear algebra would be helpful.</t>
  </si>
  <si>
    <t>EN.625.609</t>
  </si>
  <si>
    <t>Matrix Theory</t>
  </si>
  <si>
    <t>This course focuses on the fundamental theoretical properties of matrices. Topics will include a rigorous treatment of vector spaces (linear independence, basis, dimension, and linear transformations), orthogonality (inner products, projections, and Gram-Schmidt process), determinants, eigenvalues and eigenvectors (diagonal form of a matrix, similarity transformations, and matrix exponential), singular value decomposition, and the pseudo-inverse. Essential proof writing techniques and logic will be reviewed and then used throughout the course in exams and written assignments. Prerequisite(s): Multivariate calculus</t>
  </si>
  <si>
    <t>EN.625.611</t>
  </si>
  <si>
    <t>Computational Methods</t>
  </si>
  <si>
    <t>As the need to increase the understanding of real-world phenomena grows rapidly, computer-based simulations and modeling tools are increasingly being accepted as viable means to study such problems. In this course, students are introduced to some of the key computational techniques used in modeling and simulation of real-world phenomena. The course begins with coverage of fundamental concepts in computational methods including error analysis, matrices and linear systems, convergence, and stability. It proceeds to curve fitting, least squares, and iterative techniques for practical applications, including methods for solving ordinary differential equations and simple optimization problems. Elements of computer visualization and Monte Carlo simulation will be discussed as appropriate. The emphasis here is not so much on programming technique, but rather on understanding basic concepts and principles. Employment of higher-level programming and visualization tools, such as MATLAB, reduces burdens on programming and introduces a powerful tool set commonly used by industry and academia. A consistent theme throughout the course is the linkage between the techniques covered and their applications to realworld problems. Prerequisite(s): Multivariate calculus and ability to program in MATLAB, FORTRAN, C++, Java, or other language. Courses in matrix theory or linear algebra as well as in differential equations would be helpful but are not required.</t>
  </si>
  <si>
    <t>EN.625.615</t>
  </si>
  <si>
    <t>Introduction to Optimization</t>
  </si>
  <si>
    <t>This course introduces applications and algorithms for linear, network, integer, and nonlinear optimization. Topics include the primal and dual simplex methods, network flow algorithms, branch and bound, interior point methods, Newton and quasi-Newton methods, and heuristic methods. Students will gain experience in formulating models and implementing algorithms using MATLAB. No previous experience with the software is required. Prerequisite(s): Multivariate calculus, linear algebra. Comfort with reading and writing mathematical proofs would be helpful but is not required. Course Note(s): Due to overlap in subject matter in EN.625.615 and EN.625.616 , students may not receive credit towards the MS or post-master’s certificate for both EN.625.615 and EN.625.616 .</t>
  </si>
  <si>
    <t>EN.625.616</t>
  </si>
  <si>
    <t>Optimization in Finance</t>
  </si>
  <si>
    <t>Optimization models play an increasingly important role in financial decisions. This course introduces the student to financial optimization models and methods. We will specifically discuss linear, integer, quadratic, and general nonlinear programming. If time permits, we will also cover dynamic and stochastic programming. The main theoretical features of these optimization methods will be studied as well as a variety of algorithms used in practice. Prerequisite(s): Multivariate calculus and linear algebra. Course Note(s): Due to overlap in subject matter in EN.625.615 and EN.625.616 , students may not receive credit towards the MS or post-master’s certificate for both EN.625.615 and EN.625.616 .</t>
  </si>
  <si>
    <t>EN.625.617</t>
  </si>
  <si>
    <t>Intro to Enumerative Combinatorics</t>
  </si>
  <si>
    <t>The most basic question in mathematics is How many? Counting problems arise in diverse areas including discrete probability and the analysis of the run time of algorithms. In this course we present methods for answering enumeration questions exactly and approximately. Topics include fundamental counting problems (lists, sets, partitions, and so forth), combinatorial proof, inclusion-exclusion, ordinary and exponential generating functions, group-theory methods, and asymptotics. Examples are drawn from areas such as graph theory and block designs. After completing this course students will be practiced in applying the fundamental functions (such as factorial, binomial coefficients, Stirling numbers) and techniques for solving a wide variety of exact enumeration problems as well as notation and methods for approximate counting (asymptotic equality, big-oh and little-oh notation, etc.). Prerequisite(s): Linear algebra</t>
  </si>
  <si>
    <t>EN.625.618</t>
  </si>
  <si>
    <t>Discrete Hybrid Optimization</t>
  </si>
  <si>
    <t>Real-world planning, scheduling, and resource allocation problems are often too large and complex to solve using straightforward applications of classic exact optimization methods. Often a hybrid combination of methods is used to decompose large, unwieldy problems into smaller and computationally-tractable sub-problems. This course introduces the theory, algorithms, and a framework for combining multiple optimization techniques to solve large-scale real-world optimization problems. Techniques include integer optimization, constraint programming, network optimization, heuristics, dynamic programming, and reinforcement learning. The class provides the necessary theoretical underpinnings of the techniques, and focuses on selecting and implementing hybrid methods to solve applied problems. Emphasis is mostly on deterministic methods, but includes some stochastic concepts. Students will gain experience in formulating models of real-world problems, implementing solution techniques using IBM CPLEX and other software, and presenting analytic results clearly and concisely. Some previous experience with a scientific computing language (e.g., Python, MATLAB, Julia, R) is expected.</t>
  </si>
  <si>
    <t>EN.625.620</t>
  </si>
  <si>
    <t>Mathematical Methods for Signal Processing</t>
  </si>
  <si>
    <t>This course familiarizes the student with modern techniques of digital signal processing and spectral estimation of discrete-time or discrete-space sequences derived by the sampling of continuous-time or continuous-space signals. The class covers the mathematical foundation needed to understand the various signal processing techniques as well as the techniques themselves. Topics include the discrete Fourier transform, the discrete Hilbert transform, the singular-value decomposition, the wavelet transform, classical spectral estimates (periodogram and correlogram), autoregressive and autoregressivemoving average spectral estimates, and Burg maximum entropy method. Prerequisite(s): Mathematics through multivariate calculus, matrix theory, or linear algebra, and introductory probability theory and/or statistics. Students are encouraged to refer any questions to the instructor.</t>
  </si>
  <si>
    <t>EN.625.621</t>
  </si>
  <si>
    <t>Modern Control Systems</t>
  </si>
  <si>
    <t>Modern control is based on the concept of a state for modeling dynamical systems. This course considers both continuous-time and discrete-time systems, focusing primarily on the case of a digital controller. The course starts with the study of deterministic systems, covering observability, controllability, stability, and state-variable feedback. Consideration of stochastic disturbances leads to Kalman filter algorithms for state estimation and system identification. Students will develop computer simulations involving classical Kalman filters, numerically superior square-root algorithms, and extended and unscented Kalman filters for systems that are nonlinear or have non-Gaussian or non-additive disturbances. The concept of state is then extended to control based on reinforcement learning. The course also provides an introduction to optimal control. Prerequisites: Undergraduate courses in linear algebra and either multivariate calculus or signals and systems.</t>
  </si>
  <si>
    <t>EN.625.623</t>
  </si>
  <si>
    <t>Introduction to Operations Research: Probabilistic Models</t>
  </si>
  <si>
    <t>This course investigates several probability models that are important to operations research applications. Models covered include Markov chains, Markov processes, renewal theory, queueing theory, scheduling theory, reliability theory, Bayesian networks, random graphs, and simulation. The course emphasizes both the theoretical development of these models and the application of the models to areas such as engineering, computer science, and management science.</t>
  </si>
  <si>
    <t>EN.625.624</t>
  </si>
  <si>
    <t>Network Models and Analysis</t>
  </si>
  <si>
    <t>Networks are at the heart of some of the most revolutionary technologies in modern times. They permeate science, technology, business, and nature. We begin this course with an in-depth mathematical study of the network problems traditionally discussed in operations research, with emphasis on combinatorial approaches for solving them. Students will be introduced to efficient algorithms used in solving shortest path, maximum flow, minimum cost flow problems, and related problems. We next focus on mathematically describing different classes of networks – random, small-world, scale free, dynamic – and their use in modeling social interactions, biological processes, affiliations, information flow and other applications of modern network science.</t>
  </si>
  <si>
    <t>EN.625.633</t>
  </si>
  <si>
    <t>Monte Carlo Methods</t>
  </si>
  <si>
    <t>This course is an introduction to fundamental tools in designing, conducting, and interpreting Monte Carlo simulations. Emphasis is on generic principles that are widely applicable in simulation, as opposed to detailed discussion of specific applications and/or software packages. At the completion of this course, it is expected that students will have the insight and understanding to critically evaluate or use many state-of-the-art methods in simulation. Topics covered include random number generation, simulation of Brownian motion and stochastic differential equations, output analysis for Monte Carlo simulations, variance reduction, Markov chain Monte Carlo, simulation-based estimation for dynamical (state-space) models, and, time permitting, sensitivity analysis and simulation-based optimization. Course Note(s): This course serves as a complement to the 700-level course EN.625.744 Modeling, Simulation, and Monte Carlo. EN.625.633 Monte Carlo Methods and EN.625.744 emphasize different topics, and EN.625.744 is taught at a slightly more advanced level. EN.625.633 includes topics not covered in EN.625.744 such as simulation of Brownian motion and stochastic differential equations, general output analysis for Monte Carlo simulations, and general variance reduction. EN.625.744 includes greater emphasis on generic modeling issues (bias-variance tradeoff, etc.), simulation-based optimization of real-world processes, and optimal input selection.</t>
  </si>
  <si>
    <t>EN.625.636</t>
  </si>
  <si>
    <t>Graph Theory</t>
  </si>
  <si>
    <t>This course focuses on the mathematical theory of graphs; a few applications and algorithms will be discussed. Topics include trees, connectivity, Eulerian and Hamiltonian graphs, matchings, edge and vertex colorings, independent sets and cliques, planar graphs, and directed graphs. An advanced topic completes the course. Prerequisite(s): Familiarity with linear algebra and basic counting methods such as binomial coefficients is assumed. Comfort with reading and writing mathematical proofs is required.</t>
  </si>
  <si>
    <t>EN.625.638</t>
  </si>
  <si>
    <t>Foundations of Neural Networks</t>
  </si>
  <si>
    <t>This course will be a comprehensive study of the mathematical foundations for neural networks. Topics include feed forward and recurrent networks and neural network applications in function approximation, pattern analysis, signal classification, optimization, and associative memories.Prerequisites: Multivariable calculus, linear algebra</t>
  </si>
  <si>
    <t>EN.625.641</t>
  </si>
  <si>
    <t>Mathematics of Finance</t>
  </si>
  <si>
    <t>This course offers a rigorous treatment of the subject of investment as a scientific discipline. Mathematics is employed as the main tool to convey the principles of investment science and their use to make investment calculations for good decision making. Topics covered in the course include the basic theory of interest and its applications to fixed-income securities, cash flow analysis and capital budgeting, mean-variance portfolio theory and the associated capital asset pricing model, utility function theory and risk analysis, derivative securities and basic option theory, and portfolio evaluation.</t>
  </si>
  <si>
    <t>EN.625.642</t>
  </si>
  <si>
    <t>Mathematics of Risk, Options, and Financial Derivatives</t>
  </si>
  <si>
    <t>The concept of options stems from the inherent human desire and need to reduce risks. This course starts with a rigorous mathematical treatment of options pricing, and related areas by developing a powerful mathematical tool known as Ito calculus. We introduce and use the well-known field of stochastic differential equations to develop various techniques as needed, as well as discuss the theory of martingales. The mathematics will be applied to the arbitrage pricing of financial derivatives, which is the main topic of the course. We treat the Black-Scholes theory in detail and use it to understand how to price various options and other quantitative financial instruments. Topics covered in the course include options strategies, binomial pricing, Weiner processes and Ito’s lemma, the Black-Scholes-Merton Model, futures options and Black’s Model, option Greeks, numerical procedures for pricing options, the volatility smile, the value at risk, exotic options, martingales and risk measures. Course Note(s): This class is distinguished from EN.625.641 Mathematics of Finance: Investment Science (formerly 625.439) and EN.625.714 Introductory Stochastic Differential Equations with Applications, as follows: EN.625.641 Mathematics of Finance: Investment Science gives a broader and more general treatment of financial mathematics, and EN.625.714 Introductory Stochastic Differential Equations with Applications provides a deeper (more advanced) mathematical understanding of stochastic differential equations, with applications in both finance and non-finance areas.</t>
  </si>
  <si>
    <t>EN.625.651</t>
  </si>
  <si>
    <t>Mathematical Models in Healthcare</t>
  </si>
  <si>
    <t>A firm mathematical foundation for work in biostatistics is provided by a detailed consideration of four mathematical frameworks that can be applied throughout medicine. The class will focus on these framework ideas, which build on earlier coursework in statistics and probability, and their applications. The mathematical frameworks are Markov models, Gaussian processes, logistic regression, and Bayesian networks. The clinical settings to be explored will be associated with treatment, prognosis, and survival within the settings of asthma, diabetes, cancer, and epidemics. While the course is primarily mathematical, students will be expected to work within at least one programming environment (R or Python will be easiest, but Julia, MATLAB, and others will also be supported).</t>
  </si>
  <si>
    <t>EN.625.661</t>
  </si>
  <si>
    <t>Statistical Models and Regression</t>
  </si>
  <si>
    <t>Introduction to regression and linear models including least squares estimation, maximum likelihood estimation, the Gauss-Markov Theorem, and the Fundamental Theorem of Least Squares. Topics include estimation, hypothesis testing, simultaneous inference, model diagnostics, transformations, multicollinearity, influence, model building, and variable selection. Advanced topics include nonlinear regression, robust regression, and generalized linear models including logistic and Poisson regression.</t>
  </si>
  <si>
    <t>EN.625.662</t>
  </si>
  <si>
    <t>Statistically designed experiments are plans for the efficient allocation of resources to maximize the amount of empirical information supporting objective decisions. Although other statistical approaches, including visualization and regression, can lead to uncovering relationships among variables, experimental design is unique in supporting the claim that the nature of the relationships can be regarded as cause and effect. Inference is achieved using a general linear model based on data collection adhering to a broad framework, wherein one or more independent variables (treatments) are intentionally and simultaneously manipulated, experimental units are randomly assigned to a level of treatment, and a response is observed. This approach in experimental research appears in virtually every field of study where the strong case for establishing cause and effect relationships is required, including, for example, randomized control trials in the health sciences or process optimization in engineering. In this course we will consider building block concepts including crossed and nested factors, fixed and random effects, aliasing and confounding, and then apply these building blocks to common experimental designs (e.g., completely randomized, randomized block, Latin squares, factorial, fractional factorial, hierarchical/nested, response surface, and repeated measure designs.) Analysis techniques will include fixed effect, random effect, and mixed effects analysis of variance. Power and sample size calculation methods will be covered and design optimality will be discussed. Applications will come from the physical sciences, engineering and the health sciences. The software packages R and JMP will be used for analysis.</t>
  </si>
  <si>
    <t>EN.625.663</t>
  </si>
  <si>
    <t>Multivariate Statistics and Stochastic Analysis</t>
  </si>
  <si>
    <t>Multivariate analysis arises with observations of more than one variable when there is some probabilistic linkage between the variables. In practice, most data collected by researchers in virtually all disciplines are multivariate in nature. In some cases, it might make sense to isolate each variable and study it separately. In most cases, however, the variables are interrelated in such a way that analyzing the variables in isolation may result in failure to uncover critical patterns in the data. Multivariate data analysis consists of methods that can be used to study several variables at the same time so that the full structure of the data can be observed and key properties can be identified. This course covers estimation, hypothesis tests, and distributions for multivariate mean vectors and covariance matrices. We also cover popular multivariate data analysis methods including multivariate data visualization, maximum likelihood, principal components analysis, multiple comparisons tests, multidimensional scaling, cluster analysis, discriminant analysis and multivariate analysis of variance, multiple regression and canonical correlation, and analysis of repeated measures data. Coursework will include computer assignments.</t>
  </si>
  <si>
    <t>EN.625.664</t>
  </si>
  <si>
    <t>Computational Statistics</t>
  </si>
  <si>
    <t>Computational statistics is a branch of mathematical sciences concerned with efficient methods for obtaining numerical solutions to statistically formulated problems. This course will introduce students to a variety of computationally intensive statistical techniques and the role of computation as a tool of discovery. Topics include numerical optimization in statistical inference [expectation-maximization (EM) algorithm, Fisher scoring, etc.], random number generation, Monte Carlo methods, randomization methods, jackknife methods, bootstrap methods, tools for identification of structure in data, estimation of functions (orthogonal polynomials, splines, etc.), and graphical methods. Additional topics may vary. Coursework will include computer assignments.</t>
  </si>
  <si>
    <t>EN.625.665</t>
  </si>
  <si>
    <t>Bayesian Statistics</t>
  </si>
  <si>
    <t>In Bayesian statistics, inference about a population parameter or hypothesis is achieved by merging prior knowledge, represented as a prior probability distribution, with data. This prior distribution and data are merged mathematically using Bayes’ rule to produce a posterior distribution, and this course focuses on the ways in which the posterior distribution is used in practice and on the details of how the calculation of the posterior is done. In this course, we discuss specific types of prior and posterior distributions, prior/posterior conjugate pairs, decision theory, Bayesian prediction, Bayesian parameter estimation and estimation uncertainty, and Monte Carlo methods commonly used in Bayesian statistical inference. Students will apply Bayesian methods to analyze and interpret several real-world data sets and will investigate some of the theoretical issues underlying Bayesian statistical analysis. R is the software that will be used to illustrate the concepts discussed in class. Course Note(s): Prior experience with R is not required; students not familiar with R will be directed to an online tutorial.</t>
  </si>
  <si>
    <t>EN.625.671</t>
  </si>
  <si>
    <t>Mathematical Foundations of Generative AI</t>
  </si>
  <si>
    <t>This course provides an in-depth exploration of the mathematical concepts and algorithms underlying generative models in artificial intelligence. Students will learn about the theoretical basis of various generative techniques such as Generative Adversarial Networks (GANs), Variational Autoencoders (VAEs), and other probabilistic models. The course emphasizes the development of a strong mathematical understanding to analyze and improve generative models, with applications ranging from image and video generation to complex problem-solving in unsupervised learning environments.</t>
  </si>
  <si>
    <t>EN.625.680</t>
  </si>
  <si>
    <t>Cryptography</t>
  </si>
  <si>
    <t>An important concern in the information age is the security, protection, and integrity of electronic information, including communications, electronic funds transfer, power system control, transportation systems, and military and law enforcement information. Modern cryptography, in applied mathematics, is concerned not only with the design and exploration of encryption schemes (classical cryptography) but also with the rigorous analysis of any system that is designed to withstand malicious attempts to tamper with, disturb, or destroy it. This course introduces and surveys the ?eld of modern cryptography and will explore the following topics in the field: foundations of cryptography, public key cryptography, probabilistic proof systems, pseudorandom generators, elliptic curve cryptography, and fundamental limits to information operations. Mathematical preliminaries from probability theory, algebra, computational complexity, and number theory will also be covered.</t>
  </si>
  <si>
    <t>EN.625.685</t>
  </si>
  <si>
    <t>Number Theory</t>
  </si>
  <si>
    <t>This course covers principal ideas of classical number theory, including the fundamental theorem of arithmetic and its consequences, congruences, cryptography and the RSA method, polynomial congruences, primitive roots, residues, multiplicative functions, and special topics. Prerequisite(s): Multivariate calculus and linear algebra.</t>
  </si>
  <si>
    <t>EN.625.687</t>
  </si>
  <si>
    <t>Applied Topology</t>
  </si>
  <si>
    <t>The course is both an introduction to topology and an investigation of various applications of topology in science and engineering. Topology, simply put, is a mathematical study of shapes, and it often turns out that just knowing a rough shape of an object (whether that object is as concrete as platonic solids or as abstract as the space of all paths in large complex networks) can enhance one’s understanding of the object. We will start with a few key theoretical concepts from point-set topology with proofs, while letting breadth take precedence over depth, and then introduce key concepts from algebraic topology, which attempts to use algebraic concepts, mostly group theory, to develop ideas of homotopy, homology, and cohomology, which render topology “computable.” Finally, we discuss a few key examples of real-world applications of computational topology, an emerging field devoted to the study of efficient algorithms for topological problems, especially those arising in science and engineering, which builds on classical results from algebraic topology as well as algorithmic tools from computational geometry and other areas of computer science. The questions we like to ask are: Do I know the topology of my network? What is a rough shape of the large data set that I am working with (is there a logical gap?)? Will the local picture of a part of the sensor field I am looking at give rise to a consistent global common picture?</t>
  </si>
  <si>
    <t>EN.625.690</t>
  </si>
  <si>
    <t>Computational Complexity and Approximation</t>
  </si>
  <si>
    <t>This course will cover the theory of computational complexity and popular approximation and optimization problems and algorithms. It begins with automata theory, languages, and computation followed by important complexity concepts including Turing machines, Karp and Turing reducibility, basic complexity classes, and the theory of NP-completeness. It then discusses the complexity of well-known approximation and optimization algorithms and introduces approximability properties, with special focus on approximation algorithm and heuristic design. The course will specifically target algorithms with practical significance and techniques that can improve performance in real-world implementations.</t>
  </si>
  <si>
    <t>EN.625.691</t>
  </si>
  <si>
    <t>Introduction to Causal Inference</t>
  </si>
  <si>
    <t>This course offers a rigorous introduction to the theory and practice of causal inference, with emphasis on real-world applications. Students will learn to estimate causal effects using both experimental and observational data, drawing on the potential outcomes framework and modern identification strategies. Topics include randomized experiments, selection bias, regression adjustment, matching methods, instrumental variables, difference-in-differences, synthetic control methods, and causal diagrams (directed acyclic graphs). The course integrates theoretical foundations with hands-on practice using real datasets, preparing students to critically evaluate and implement causal analysis in applied settings.</t>
  </si>
  <si>
    <t>EN.625.692</t>
  </si>
  <si>
    <t>Probabilistic Graphical Models</t>
  </si>
  <si>
    <t>This course introduces the fundamentals behind the mathematical and logical framework of graphical models. These models are used in many areas of machine learning and arise in numerous challenging and intriguing problems in data analysis, mathematics, and computer science. For example, the “big data” world frequently uses graphical models to solve problems. While the framework introduced in this course will be largely mathematical, we will also present algorithms and connections to problem domains. The course will begin with the fundamentals of probability theory and will then move into Bayesian networks, undirected graphical models, template-based models, and Gaussian networks. The nature of inference and learning on the graphical structures will be covered, with explorations of complexity, conditioning, clique trees, and optimization. The course will use weekly problem sets and a term project to encourage mastery of the fundamentals of this emerging area.</t>
  </si>
  <si>
    <t>EN.625.694</t>
  </si>
  <si>
    <t>Introduction to Convexity</t>
  </si>
  <si>
    <t>Convexity is a simple mathematical concept that has become central in a diverse range of applications in engineering, science, and business applications. Our main focus, from the applications perspective, will be the use of convexity within optimization problems, where convexity plays a key role in identifying the "easy" problems from the "hard" ones. The course will have an equal emphasis on expositing the rich mathematical structure of the field itself (properties of convex sets, convex functions, polarity/duality, subdifferential calculus, polyhedral theory, sublinearity), and demonstrating how these ideas can be used to model and solve optimization problems.The course requires basic familiarity with concepts like sequences, convergence and limits at the level of a rigorous multivariate calculus course (a course in real analysis such as EN.625.601 , will be more than sufficient, but only the most basic ideas from real analysis are needed; a formal course is not required). The course also needs background in basic linear algebra at the level of EN.625.252 ( EN.625.609 will be more than sufficient).Prerequisites: Multivariable calculus, linear algebra</t>
  </si>
  <si>
    <t>EN.625.695</t>
  </si>
  <si>
    <t>Time Series Analysis</t>
  </si>
  <si>
    <t>This course will be a rigorous and extensive introduction to modern methods of time series analysis and dynamic modeling. Topics to be covered include elementary time series models, trend and seasonality, stationary processes, Hilbert space techniques, the spectral distribution function, autoregressive/ integrated/moving average (ARIMA) processes, fitting ARIMA models, forecasting, spectral analysis, the periodogram, spectral estimation techniques, multivariate time series, linear systems and optimal control, state-space models, and Kalman filtering and prediction. Additional topics may be covered if time permits. Some applications will be provided to illustrate the usefulness of the techniques. Course Note(s): This course is also offered in the Department of Applied Mathematics and Statistics (Homewood campus) as EN.553.639 .</t>
  </si>
  <si>
    <t>EN.625.703</t>
  </si>
  <si>
    <t>Complex Analysis</t>
  </si>
  <si>
    <t>This course presents complex analysis with a rigorous approach that also emphasizes problem solving techniques and applications. The major topics covered are holomorphic functions, contour integrals, Cauchy integral theorem and residue integration, Laurent series, argument principle, conformal mappings, harmonic functions. Several topics are explored in the context of analog and digital signal processing including: Fourier transforms for functions over the reals and the integers, Laplace and z-transforms, Jordan’s lemma and inverse transforms computed via residue integration, reflection principle for lines and circles.</t>
  </si>
  <si>
    <t>EN.625.710</t>
  </si>
  <si>
    <t>Fourier Analysis with Applications to Signal Processing and Differential Equations</t>
  </si>
  <si>
    <t>This applied course covers the theory and application of Fourier analysis, including the Fourier transform, the Fourier series, and the discrete Fourier transform. Motivation will be provided by the theory of partial differential equations arising in physics and engineering. We will also cover Fourier analysis in the more general setting of orthogonal function theory. Applications in signal processing will be discussed, including the sampling theorem and aliasing, convolution theorems, and spectral analysis. Prerequisite(s): Familiarity with differential equations, linear algebra, and real analysis.</t>
  </si>
  <si>
    <t>EN.625.714</t>
  </si>
  <si>
    <t>Introductory Stochastic Differential Equations with Applications</t>
  </si>
  <si>
    <t>The goal of this course is to give basic knowledge of stochastic differential equations useful for scientific and engineering modeling, guided by some problems in applications. The course treats basic theory of stochastic differential equations, including weak and strong approximation, efficient numerical methods and error estimates, the relation between stochastic differential equations and partial differential equations, Monte Carlo simulations with applications in financial mathematics, population growth models, parameter estimation, and filtering and optimal control problems. Prerequisite(s): Multivariate calculus and a graduate course in probability and statistics, as well as exposure to ordinary differential equations.</t>
  </si>
  <si>
    <t>EN.625.717</t>
  </si>
  <si>
    <t>Advanced Differential Equations: Partial Differential Equations</t>
  </si>
  <si>
    <t>This course presents practical methods for solving partial differential equations (PDEs). The course covers solutions of hyperbolic, parabolic, and elliptic equations in two or more independent variables. Topics include Fourier series, separation of variables, existence and uniqueness theory for general higher-order equations, eigenfunction expansions, numerical methods, Green’s functions, and transform methods. MATLAB, a high-level computing language, is used in the course to complement the analytical approach and to motivate numerical methods.</t>
  </si>
  <si>
    <t>EN.625.718</t>
  </si>
  <si>
    <t>Advanced Differential Equations: Nonlinear Differential Equations and Dynamical Systems</t>
  </si>
  <si>
    <t>This course examines ordinary differential equations from a geometric point of view and involves significant use of phase portrait diagrams and associated concepts, including equilibrium points, orbits, limit cycles, and domains of attraction. Various methods are discussed to determine existence and stability of equilibrium points and closed orbits. Methods are discussed for analyzing nonlinear differential equations (e.g., linearization, direct, perturbation, and bifurcation analysis). An introduction to chaos theory and Hamiltonian systems is also presented. The techniques learned will be applied to equations from physics, engineering, biology, ecology, and neural networks (as time permits).</t>
  </si>
  <si>
    <t>EN.625.719</t>
  </si>
  <si>
    <t>Advanced Differential Equations: Numerical Solutions to Ordinary and Partial Differential Equations</t>
  </si>
  <si>
    <t>This course presents numerical methods for the solution of both ordinary and partial differential equations. The analytical focus examines concepts of stability and convergence as applied to numerical simulations to differential equations. For solutions to ordinary differential equations topics in Euler’s method and Runge-Kutta methods are considered and analyzed, as well as boundary value problems. For solutions to partial differential equations, both implicit and explicit methods are considered and studied. The majority of consideration will be given to finite difference methods but will include a brief introduction to finite element and discontinuous Galerkin methods. A critical eye will be given toward appropriate discretization and methods, pairing effective techniques to the defined problem. Course work will be divided between analysis and computer implementation through comprehensive projects. Numerical implementations are not required to be in any specific programming language. Some familiarity with programming with a higher-level language (Fortran, MATLAB, Python) will be necessary. Course Notes: This course will complement the development of solutions to differential equations learned in EN.625.717 and EN.625.718 , which are largely analytical. EN.625.719 will develop numerical solutions where an analytical solution may be otherwise unavailable. While there is some overlap in the types of differential equations considered, the techniques used to develop solutions are quite different. Similarly, the general concepts of numerical analysis from EN.625.611 are used in this course but applied to a specific application.</t>
  </si>
  <si>
    <t>EN.625.721</t>
  </si>
  <si>
    <t>Probability and Stochastic Processes I</t>
  </si>
  <si>
    <t>The Probability and Stochastic Processes I and II course sequence allows the student to more deeply explore and understand probability and stochastic processes. The first course in the sequence provides a deep analysis of fundamental concepts in probability to lay the foundation for the second course, EN.625.722 and other specialized courses in probability. This course builds from previous understanding of probability from Statistical Methods and Data Analysis ( EN.625.603 ) and encourages the student to take a much more critical eye to what a model in probability means and how probability is defined and worked with. The entry point is probability space and random variables. From there, we will consider functions of random variables, along with independence and conditional probabilities. This leads to moments, joint distributions, multivariate random variables, and variance. We then focus more tightly on distributions of random variables, posterior distributions, probability generating functions, moment generating functions, characteristic functions, random sums and the types of convergence and convergence concepts. We cover the law of large numbers and central limit theorems, the Borel-Cantelli Lemmas, order statistics, stable distributions, and extreme value distributions. Our connection point to 625.722 is the last part of the course where we cover homogeneous Poisson processes, non-homogeneous Poisson processes, and compound Poisson processes. This course is proof oriented but will not require measure theory or real analysis.</t>
  </si>
  <si>
    <t>EN.625.722</t>
  </si>
  <si>
    <t>Probability and Stochastic Processes II</t>
  </si>
  <si>
    <t>The Probability and Stochastic Processes I and II course sequence allows the student to more deeply explore and understand probability and stochastic processes. The second course in the sequence is an introduction to theory and applications of stochastic processes. We start with a brief review of material covered in EN.625.721 . We move onto Gaussian random vectors and processes, renewal processes, renewal reward process, discrete-time Markov chains, classification of states, birth-death process, reversible Markov chains, branching process, continuous-time Markov chains, limiting probabilities, Kolmogorov differential equations, approximation methods for transition probabilities, random walks, and martingales. This course is proof oriented.</t>
  </si>
  <si>
    <t>EN.625.725</t>
  </si>
  <si>
    <t>Theory of Statistics I</t>
  </si>
  <si>
    <t>This course covers mathematical statistics and probability. The emphasis will be on deepening your understanding of statistical theory. The topics covered include: Probabilistic models (for example: exponential families, gamma distributions) goodness of fit tests, discrete and continuous random variables, expectation, variance and covariance, data reduction and summarization, Bayes theorem and estimators, marginals, conditionals and independence, statistical determination of models (with linear regression, least squares and maximum likelihood), the Best Linear Unbiased Estimator (BLUE), hypothesis testing and needed tests (likelihood ratio tests, Chi-squared tests, Wald tests, multiple hypothesis tests, intersection-union tests, permutation tests), probability inequalities and convergence of random variables, delta methods, acceptance sampling, Poisson recursion, empirical distribution functions, negative binomials, confidence intervals, point estimates, confidence sets, method of moments, factorization theorem, order statistics, bootstrap methods, parametric inference, Bayesian inference and logistic regression. This course is a rigorous treatment of statistics that lays the foundation for EN.625.726 and other advanced courses in statistics</t>
  </si>
  <si>
    <t>EN.625.726</t>
  </si>
  <si>
    <t>Theory of Statistics II</t>
  </si>
  <si>
    <t>This course is a continuation of 626.725. The course further deepens your understanding of mathematical foundations of statistical methods through an analysis of standard and contemporary methods. This course starts with decision theory, and then continues with density estimation, nonparametric regression methods (kernels, local polynomials), nonparametric classification (density based, kernels, trees), high dimensional methods (lasso, ridge regression), statistical analysis of graphical models, minimax theory, causality, dimensionality reduction, mixture models, boosting, conformal methods, M-estimation, U-statistics, empirical processes and semiparametric models, use of concentration inequalities, bias and variance, the central limit theorem, likelihood and sufficiency, point estimation (MLE, method of moments and Bayes), asymptotic theory, confidence intervals, bootstrap methods, high dimensional statistics, and model selection.</t>
  </si>
  <si>
    <t>EN.625.728</t>
  </si>
  <si>
    <t>Theory of Probability</t>
  </si>
  <si>
    <t>This course provides a rigorous, measure-theoretic introduction to probability theory. It begins with the notion of fields, sigma fields, and measurable spaces and also surveys elements from integration theory and introduces random variables as measurable functions. It then examines the axioms of probability theory and fundamental concepts including conditioning, conditional probability and expectation, independence, and modes of convergence. Other topics covered include characteristic functions, basic limit theorems (including the weak and strong laws of large numbers), and the central limit theorem.</t>
  </si>
  <si>
    <t>EN.625.734</t>
  </si>
  <si>
    <t>Queuing Theory</t>
  </si>
  <si>
    <t>Queues are a ubiquitous part of everyday life; common examples are supermarket checkout stations, help desk call centers, manufacturing assembly lines, wireless communication networks, and multi-tasking computers. Queuing theory provides a rich and useful set of mathematical models for the analysis and design of service process for which there is contention for shared resources. This course explores both theory and application of fundamental and advanced models in this field. Fundamental models include single and multiple server Markov queues, bulk arrival and bulk service processes, and priority queues. Applications emphasize communication networks and computer operations but may include examples from transportation, manufacturing, and the service industry. Advanced topics may vary.</t>
  </si>
  <si>
    <t>EN.625.736</t>
  </si>
  <si>
    <t>Combinatorial Optimization</t>
  </si>
  <si>
    <t>Combinatorial optimization concerns finding an optimal solution from a discrete set of feasible solutions. In many of these problems, exhaustive enumeration of the solution space is intractable. The main goal of this course is to introduce students to efficient techniques for solving combinatorial optimization problems. The first part of the course will focus on algorithms for classical problems including maximum flow, minimum cut, minimum cost flow, matching theory, bipartite matching via flow, and Edmond’s blossom algorithm. The next part of the course will show how polyhedral theory can be used to deal with combinatorial optimization problems in a unifying manner. Topics include basic polyhedral theory, linear programming, integer programming, totally unimodular matrices (TUM), total dual integrality (TDI), and cutting plane theory. Other topics covered may include lattice theory and algorithmic geometry of numbers, semidefinite optimization, matroid theory, and submodular optimization.</t>
  </si>
  <si>
    <t>EN.625.740</t>
  </si>
  <si>
    <t>Data Mining</t>
  </si>
  <si>
    <t>The field of data science is emerging to make sense of the growing availability and exponential increase in size of typical data sets. Central to this unfolding field is the area of data mining, an interdisciplinary subject incorporating elements of statistics, machine learning, artificial intelligence, and data processing. In this course, we will explore methods for preprocessing, visualizing, and making sense of data, focusing not only on the methods but also on the mathematical foundations of many of the algorithms of statistics and machine learning. We will learn about approaches to classification, including traditional methods such as Bayes Decision Theory and more modern approaches such as Support Vector Machines and unsupervised learning techniques that encompass clustering algorithms applicable when labels of the training data are not provided or are unknown. We will introduce and use open-source statistics and data-mining software such as R. Students will have an opportunity to see how data mining algorithms work together by reviewing case studies and applying techniques learned in hands-on projects.</t>
  </si>
  <si>
    <t>EN.625.741</t>
  </si>
  <si>
    <t>Game Theory</t>
  </si>
  <si>
    <t>Game theory is a field of applied mathematics that describes and analyzes interactive decision making when two or more parties are involved. Since finding a firm mathematical footing in 1928, it has been applied to many fields, including economics, political science, foreign policy, and engineering. This course will serve both as an introduction to and a survey of applications of game theory. Therefore, after covering the mathematical foundational work with some measure of mathematical rigor, we will examine many real-world situations, both historical and current. Topics include two-person/N-person game, cooperative/non-cooperative game, static/dynamic game, combinatorial/strategic/coalitional game, and their respective examples and applications. Further attention will be given to the meaning and the computational complexity of finding of Nash equilibrium.</t>
  </si>
  <si>
    <t>EN.625.742</t>
  </si>
  <si>
    <t>Theory of Machine Learning</t>
  </si>
  <si>
    <t>This course introduces various machine learning algorithms with emphasis on their derivation and underlying mathematical theory. Topics include the mathematical theory of linear models (regression and classification), anomaly detectors, tree-based methods, regularization, fully connected neural networks, convolutional neural networks, and model assessment. Students will gain experience in formulating models and implementing algorithms using Python. Students will need to be comfortable with writing code in Python to be successful in this course. At the end of this course, students will be able to implement, apply, and mathematically analyze a variety of machine learning algorithms when applied to real-world data. Course Note(s): Although students will have coding assignments, this course differs from other EP machine learning courses in that the primary focus is on the mathematical foundations underlying the algorithms.</t>
  </si>
  <si>
    <t>EN.625.743</t>
  </si>
  <si>
    <t>Stochastic Optimization &amp; Control</t>
  </si>
  <si>
    <t>Stochastic optimization plays a large role in modern learning algorithms and in the analysis and control of modern systems. This course introduces the fundamental issues in stochastic search and optimization, with special emphasis on cases where classical deterministic search techniques (steepest descent, Newton–Raphson, linear and nonlinear programming, etc.) do not readily apply. These cases include many important practical problems in engineering, computer science, machine learning, and elsewhere, which will be briefly discussed throughout the course. Discrete and continuous optimization problems will be considered. Algorithms for global and local optimization problems will be discussed. Methods such as random search, least mean squares (LMS), stochastic approximation, stochastic gradient, simulated annealing, evolutionary computation (including genetic algorithms), and stochastic discrete optimization will be discussed.</t>
  </si>
  <si>
    <t>EN.625.744</t>
  </si>
  <si>
    <t>Modeling, Simulation, and Monte Carlo</t>
  </si>
  <si>
    <t>Computer simulation and related Monte Carlo methods are widely used in engineering, scientific, and other work. Simulation provides a powerful tool for the analysis of real-world systems when the system is not amenable to traditional analytical approaches. In fact, advances in hardware, software, and user interfaces have made simulation a “first-line” method of attack for a growing number of problems. Areas where simulation-based approaches have emerged as indispensable include decision aiding, prototype development, performance prediction, scheduling, and computer-based personnel training. This course introduces concepts and statistical techniques that are critical to constructing and analyzing effective simulations and discusses certain applications for simulation and Monte Carlo methods. A major focus is on the role of optimization in modeling and simulation. Topics include random number generation, simulation-based optimization, model building, bias-variance tradeoff, input selection using experimental design, Markov chain Monte Carlo (MCMC), and numerical integration. personnel training. This course introduces concepts and statistical techniques that are critical to constructing and analyzing effective simulations and discusses certain applications for simulation and Monte Carlo methods. A major focus is on the role of optimization in modeling and simulation. Topics include random number generation, simulation-based optimization, model building, bias-variance tradeoff, input selection using experimental design, Markov chain Monte Carlo (MCMC), and numerical integration.</t>
  </si>
  <si>
    <t>applied_biomedical_engineering</t>
  </si>
  <si>
    <t>EN.585.601</t>
  </si>
  <si>
    <t>Physiology for Applied Biomedical Engineering I</t>
  </si>
  <si>
    <t>This course is the first semester of a two-semester sequence designed to provide the physiological background necessary for advanced work in biomedical engineering. A quantitative, model-oriented approach to physiology systems is stressed. using video lectures, virtual reality, readings, computer simulations, and literature-based research, students will learn about basic cell structure and function membrane transport mechanisms, electrical properties of excitable tissue, muscular tissue (skeletal, smooth, and cardiac), the cardiovascular system, and the respiratory system.</t>
  </si>
  <si>
    <t>EN.585.602</t>
  </si>
  <si>
    <t>Physiology for Applied Biomedical Engineering II</t>
  </si>
  <si>
    <t>This two-semester sequence is designed to provide the physiological background necessary for advanced work in biomedical engineering. A quantitative model-oriented approach to physiological systems is stressed. First-term topics include the cell and its chemistry, transport and the cell membrane, properties of excitable tissue and muscle, the cardiovascular system, and the respiratory system. The second term course covers anatomy of the nervous system, structure and functions of the auditory and visual systems, motor systems, the kidney and gastrointestinal tract, and the neural and neuroendocrine control of the circulation.</t>
  </si>
  <si>
    <t>EN.585.607</t>
  </si>
  <si>
    <t>Molecular Biology</t>
  </si>
  <si>
    <t>The course is intended to serve as a fundamental introduction to cell and molecular biology. Topics generally included are basic chemistry and biochemistry of the cell; structure, function, and dynamics of macromolecules; cell organization; enzyme kinetics; membranes and membrane transport; biochemistry of cellular energy cycles, including oxidative phosphorylation; replication, transcription, and translation; regulation of gene expression; and recombinant DNA technology. Where appropriate, biomedical application and devices based on principles from cell and molecular biology are emphasized.</t>
  </si>
  <si>
    <t>EN.585.612</t>
  </si>
  <si>
    <t>Biomechanical Engineering in Sports</t>
  </si>
  <si>
    <t>This course explores strategies and technologies used in the biomechanical analysis of individuals and teams in sports in order to minimize the risk of injury and improve performance. This course focuses on the intersection of anatomy, physiology, kinesiology, and mechanical engineering in order to discover, model, characterize and optimize sports performance and injury determinants. Sports applications will be studied, evaluating specific movements, injuries, technologies, techniques and strategies that are used in the associated professional fields. Topics covered will include the forces in equilibrium, forces causing motion, deformable mechanics as well as the biomechanics of running, the biomechanics of baseball, the biomechanics of golf, contact sports injury biomechanics, human performance monitoring and data analysis for player performance, and technologies and techniques in sports biomechanics. Students will be asked to survey and critique sports biomechanics research literature, characterize and model sports movements through sensors and data analysis, design clinical programs to train and evaluate sport-specific movements, solve simple biomechanics problems, and implement data analysis principles on sports performance datasets.Prerequisites: A background in physics, biomechanics, or mechanical engineering is required. Introduction to biomechanics (585.631) is recommended. A physiology course is also recommended. Experience in programing (e.g., working in MATLAB/Python) is recommended.</t>
  </si>
  <si>
    <t>EN.585.613</t>
  </si>
  <si>
    <t>Medical Sensors &amp; Devices</t>
  </si>
  <si>
    <t>This course covers the basic and advanced principles, concepts, and operations of medical sensors and devices. The origin and nature of measurable physiological signals are studied, including chemical, electrochemical, optical, and electromagnetic signals. The principles and devices to make the measurements, including a variety of electrodes and sensors, will be discussed first. This will be followed by a rigorous presentation of the design of appropriate electronic instrumentation. Therapeutic instrumentation such as pacemakers, defibrillators, and prosthetic devices will be reviewed. The final part of this course will cover emerging frontiers of cellular and molecular instrumentation and the use of micro- and nanotechnology in these biotechnology fields. The lectures will be followed by realistic experimentation in two laboratory sessions where students will obtain hands-on experience with electronic components, sensors, biopotential measurements, and testing of therapeutic instrumentation.</t>
  </si>
  <si>
    <t>EN.585.615</t>
  </si>
  <si>
    <t>Mathematical Methods</t>
  </si>
  <si>
    <t>The course covers mathematical techniques needed to solve advanced problems encountered in applied biomedical engineering. Fundamental concepts are presented with emphasis placed on applications of these techniques to biomedical engineering problems. Topics include solution of ordinary differential equations using the Laplace transformation, Fourier series and integrals, solution of partial differential equations including the use of Bessel functions and Legendre polynomials and an introduction to complex analysis. Prerequisite(s): Familiarity with multi-variable calculus, linear algebra, and ordinary differential equations.</t>
  </si>
  <si>
    <t>EN.585.616</t>
  </si>
  <si>
    <t>Principles of Medical Instrumentation and Devices</t>
  </si>
  <si>
    <t>Biomedical sensors and devices are an integral part of modern medicine and they are becoming increasingly important with the growing need for objectivity and accessibility in diagnostics and therapeutics. The science and technology that goes into the plethora of sensors, although highly interdisciplinary, mainly derives from basic principles in physics and electrical engineering. This course will (re)introduce these principles and illustrate the application of these principles in a number of classes of medical sensors. It will also review some of the basic ideas and constraints that go into making of a medical device and finally touch upon a few nontechnical principles in applications of medical devices. Course Note(s): Desirable background knowledge includes introductory level electrical engineering, circuit design, college level differential and integral calculus, and introductory human physiology.</t>
  </si>
  <si>
    <t>EN.585.617</t>
  </si>
  <si>
    <t>Rehabilitation Engineering</t>
  </si>
  <si>
    <t>This course is an introduction to a field of engineering dedicated to improving the lives of people with disabilities. Rehabilitation engineering is the application of engineering analysis and design expertise to overcome disabilities and improve quality of life. A range of disabilities and assistive technologies will be investigated. The relationship between engineering innovation, the engineering design process, the human-technology interface, and the physical medicine and rehabilitation medical community will be explored. This course will require a semester long design project that addresses an unmet technological need. Students will choose a project with the instructor’s approval. An engineering solution will be developed over the course of the semester through specification development, design reviews, and interacting with appropriate members of the medical community. There is a required visit to a local rehabilitation facility. For students who complete a software training module, access to a 3D printer will be available with assistance from an experienced designer. Prerequisite(s): An undergraduate engineering degree or permission of the instructor.</t>
  </si>
  <si>
    <t>EN.585.619</t>
  </si>
  <si>
    <t>Regulation of Medical Devices</t>
  </si>
  <si>
    <t>Biomedical engineers are uniquely involved in many aspects of product development, from the inception of the idea to its delivery in the marketplace. This course will cover one major aspect of that process—the objectives and mechanisms of the FDA regulatory system governing the clinical use of medical devices in the United States, including regulatory pathways and device classification. Students will both analyze and discuss management of risk, and they will design controls related to cardiovascular, orthopedic, and neurological devices. By the end of the course, students will have a deep understanding of how the regulatory process is involved in every phase of medical device development.</t>
  </si>
  <si>
    <t>EN.585.621</t>
  </si>
  <si>
    <t>Advances in Pulmonary Therapeutics</t>
  </si>
  <si>
    <t>Pulmonary diseases like chronic obstructive pulmonary disease cause a significant burden on the healthcare systems all over the world. For a biomedical engineer, it is therefore important to learn about state-of-the-art diagnostic and therapeutic technologies in pulmonary medicine. This online course introduces pathologies of the pulmonary system along with related preclinical and clinical research methodologies. Modules are designed to cover integration of respiratory physiology with molecular biology, biophysics, pathophysiology, medicine, and biomedical engineering. A combination of video lectures, virtual workshops, literature reviews, student presentations, and problem sets will be used in order to foster critical thinking skills required to address current challenges in respiratory medicine.</t>
  </si>
  <si>
    <t>EN.585.631</t>
  </si>
  <si>
    <t>Introduction to Biomechanics</t>
  </si>
  <si>
    <t>This course will explore the human body, modeled as a mechanical system, and fundamental mechanical engineering principles that can be applied to answer questions about its structure and function. In this course, students will be introduced to tools, methods and models used in the biomechanics field. Topics covered will include deformable solid mechanics of the bone and soft tissues, fluid mechanics, statics and dynamics in musculoskeletal biomechanics applications, experimental biomechanics models, computational biomechanics models, and biomechanical sensors and signals. Students will be asked to survey and critique biomechanics research literature, solve simple biomechanics problems, and identify classical biomechanics fields and emerging biomechanics frontiers.Prerequisites:A background in physics or mechanical engineering as well as experience working in MATLAB is encouraged.</t>
  </si>
  <si>
    <t>EN.585.635</t>
  </si>
  <si>
    <t>Ethics in Biomedical Engineering Research and Management</t>
  </si>
  <si>
    <t>Bioengineering focuses on the development and application of new technologies in biology and medicine. These technologies often have powerful effects on living systems at the microscopic and macroscopic level. They can provide great benefit to society, but they also can be used in dangerous or damaging ways. These effects may be positive or negative, and so it is critical that bioengineers understand the basic principles of ethics when thinking about how the technologies they develop can and should be applied. On a personal level, every bioengineer should understand the basic principles of ethical behavior in the professional setting. The goal of this semester course is to present the issues of professional conduct in the practice of engineering, research, publication, public and private disclosures, and in managing professional and financial conflicts. The course seeks to teach these concepts through didactic presentations, case studies, presentations of methods for problem solving in ethical matters, and classroom debates on contemporary ethical issues. Investigation of cases includes documentation of students’ initial thoughts on issues, then systematic reflection on these thoughts through introduction of multiple perspectives, thought papers and in-class discussions. Case studies cover a wide variety of application areas, including genetic engineering, xenotransplantation, using animals in research, rights of patients and research subjects, and BME technology development.</t>
  </si>
  <si>
    <t>EN.585.649</t>
  </si>
  <si>
    <t>Artificial Intelligence and Machine Learning for Global Health</t>
  </si>
  <si>
    <t>The field of Artificial Intelligence has seen major breakthroughs in recent years, offering unprecedented possibilities in addressing major global health challenges, particularly in health equity and access. This foundational course in AI for Global Health aims to provide students with the theoretical basis and practical skills needed to apply machine learning techniques to healthcare innovations for global public health problems. The course does not require prior background in machine learning or global public health. It takes a unique approach by teaching foundational machine learning topics using case studies and real-life data from global health innovation projects across Africa, South Asia, and Latin America. Students will learn machine learning topics alongside weekly case studies involving datasets from projects on Malaria, Maternal Health, Neonatal Health, Primary Health Care, Cancer, and more. The course covers topics from basic machine learning to advanced techniques like convolutional neural networks, generative AI, and time series/sequence data. Labs and mini-projects will involve applying these methods to real datasets, culminating in a final challenge project based on a real-life multi-country implementation in East Africa. Prerequisites: Programming knowledge in a high-level language such as Python.</t>
  </si>
  <si>
    <t>EN.585.661</t>
  </si>
  <si>
    <t>Medical Device Marketing and Market Position Establishment</t>
  </si>
  <si>
    <t>This course provides a comprehensive overview of how regulatory, ethical, and commercial considerations shape the marketing of medical devices across risk classes. Students learn to analyze regulatory requirements, evaluate and design compliant marketing strategies, and critique real-world marketing practices aimed at both healthcare professionals and consumers. Through applied assignments and case studies, the course prepares students for roles in entrepreneurship, product management, regulatory marketing, and commercialization within the medical device industry.</t>
  </si>
  <si>
    <t>EN.585.682</t>
  </si>
  <si>
    <t>Neuropharmacology</t>
  </si>
  <si>
    <t>The course is intended for all M.S. and Ph.D. students interested in learning about the neurochemical basis for drug action in order to inform the engineering of pharmacological agents to combat disease. This course offers a comprehensive introduction to the field of neuropharmacology, exploring how drugs affect the nervous system at molecular, cellular, and systemic levels. Students will examine the mechanisms of neurotransmission, the role of various neurotransmitters (including glutamate, GABA, dopamine, serotonin, acetylcholine, epinephrine and norepinephrine), and the pharmacological agents that influence these systems. Topics include the physiological and pathophysiological basis of neurotransmitter systems, drug-receptor interactions, and the pharmacotherapy of neurological and psychiatric disorders such as anxiety, depression, addiction, and psychosis. The course also investigates the neurobiology of anesthesia and the challenges of drug delivery across the blood–brain barrier. By the end of the course, students will gain foundational knowledge regarding how neuroactive substances modulate brain function and behavior.</t>
  </si>
  <si>
    <t>EN.585.685</t>
  </si>
  <si>
    <t>Methods in Neurobiology</t>
  </si>
  <si>
    <t>Neurobiology is the study of cells of the nervous system and the organization of these cells into functional circuits that process information and mediate behavior. In this course we will explore molecular and cellular aspects of neuronal physiology, their organization into higher systems and approach methodologies used to analyze CNS function at different levels. Such techniques will include recent progress in whole brain imaging, advances in fluorescence microscopy and optogenetics, the basics of single-cell sequencing and the use of cellular, organoids or animal models in neuroscience. We will also discuss deviations from neuronal physiology such as during aging or after onset of CNS related pathologies, including neurodegenerative diseases and approaches to cell reprogramming and regeneration in order to recover cellular function.At the end of this course, students will have a broader understanding on techniques used to study neuronal function at a molecular, cellular and systemic level and will have the basics insights to infer which tools are more appropriate depending on the application.</t>
  </si>
  <si>
    <t>EN.585.702</t>
  </si>
  <si>
    <t>Medical Device Innovation and Design</t>
  </si>
  <si>
    <t>This course introduces you to the process of medical device design and innovation. You will learn the art and skill of identifying medical device opportunities through observations, interviews, and research. Through a combination of lectures, hands on activities, and interactions with clinical stakeholders, you will gain the ability to identify unmet, unarticulated, and underserved needs. Subsequently, you will learn the process of developing well thought out conceptual designs, that meet those needs. You will learn to apply an iterative approach towards innovation, by involving and engaging multiple stakeholders and their perspectives throughout the process. Throughout the course modules, you will also follow the journey of several innovative startups/products/ services, that started at JHU-CBID and went through the process outlined in this course.</t>
  </si>
  <si>
    <t>EN.585.703</t>
  </si>
  <si>
    <t>Applied Medical Image Processing</t>
  </si>
  <si>
    <t>Developments in medical image acquisition systems such as magnetic resonance imaging (MRI), computed tomography (CT), and ultrasound have resulted in a large number of clinical images with rich information regarding structure and function of different organs in the human body. A challenging task would be to extract clinically relevant information from the raw images that can be used to identify disease at an early stage or to monitor response to treatment. This course briefly introduces the underlying physical foundation of different image modalities followed by presentation of concepts and techniques that are used to process and extract information from medical images. Topics that are covered include medical image formats, enhancement, segmentation, registration, and visualization. MATLAB scripting language will be introduced and used to implement basic algorithms.</t>
  </si>
  <si>
    <t>EN.585.704</t>
  </si>
  <si>
    <t>Principles of Medical Imaging</t>
  </si>
  <si>
    <t>The objective of this online course is to critically compare different modalities of medical imaging by exploring the electromagnetic spectrum and the acoustic spectrum. By the end of this course, students will be able to demonstrate understanding of each modality’s strengths, limitations, and applications. For each modality, we will examine the mathematical and physical foundations of the corresponding spectrum, image formation, image interpretation, image quality, and image processing. We will also evaluate and summarize current and future research trends in medical imaging.</t>
  </si>
  <si>
    <t>EN.585.708</t>
  </si>
  <si>
    <t>Biomaterials</t>
  </si>
  <si>
    <t>This course covers the fundamentals of the synthesis, properties, and biocompatibility of metallic, ceramic, polymeric, and biological materials that come in contact with tissue and biological fluids. Emphasis is placed on using biomaterials for both hard and soft tissue replacement, organ replacement, coatings and adhesives, dental implants, and drug delivery systems. New trends in biomaterials, such as electrically conductive polymers, piezoelectric biomaterials, and sol-gel processing are discussed, and the recent merging of cell biology and biochemistry with materials is examined. Case studies and in-class scenarios are frequently used to highlight the current opportunities and challenges of using biomaterials in medicine.</t>
  </si>
  <si>
    <t>EN.585.709</t>
  </si>
  <si>
    <t>Biomechanics of Cells and Stem Cells</t>
  </si>
  <si>
    <t>The class starts with introductory lectures on the place of cell mechanics in the broader areas of cell biology, physiology, and biophysics, where the general topics of cell structure, motility, force generation, and interaction with the extracellular matrix are considered. The importance of the cell mechanical properties as indicators of the cell performance under normal and pathological conditions is emphasized. Major experimental techniques, such as micropipette aspiration, atomic force microscopy, and magnetic cytometry, to probe cell mechanical properties are presented. Linear elastic and viscoelastic models are introduced and applied to the interpretation of the mechanical experiments with endothelial cells and fibroblasts. Then the class discusses cell adhesion, spreading, and motility focusing on the experiments and models to estimate traction forces (stresses) produced by the cell. Finally, the effects of various mechanical factors (applied strains or forces, stiffness and viscoelastic properties, surface topography) on stem cell lineage commitment are discussed. Students also read and make presentations on original journal papers covering additional topics, which exposes them to the professional literature and hones their communication skills.</t>
  </si>
  <si>
    <t>EN.585.710</t>
  </si>
  <si>
    <t>Biochemical Sensors</t>
  </si>
  <si>
    <t>This course covers the fundamental principles and practical aspects of chemical sensing of physiological signals. The focus of the course is on the electrochemistry and biophysical chemistry of biological sensing elements and their integration with signal transducers. Other topics covered include design and construction of practical sensors, processing and interpretation of signal outputs, and emerging technologies for biosensing.</t>
  </si>
  <si>
    <t>EN.585.717</t>
  </si>
  <si>
    <t>Rehabilitation Engineering II</t>
  </si>
  <si>
    <t>This 2-course sequence is an introduction to a field of engineering dedicated to improving the lives of people with disabilities. Rehabilitation engineering is the application of engineering analysis and design expertise to overcome disabilities and improve quality of life. A range of disabilities and assistive technologies will be discussed and investigated. The relationship between engineering innovation, the engineering design process, the human-technology interface, and the physical medicine and rehabilitation medical community will be explored. This course sequence will require a 2-semester long design project that addresses an unmet technological need. Students will choose a project with the instructors’ approvals. An engineering solution will be developed over the two courses through specification development, design reviews, and interacting with appropriate members of the medical community. Either live or virtual interaction with a rehab clinic is required. Access to a 3D printer will be available with assistance from an experienced designer.</t>
  </si>
  <si>
    <t>EN.585.718</t>
  </si>
  <si>
    <t>Biological Solid &amp; Fluid Mechanics</t>
  </si>
  <si>
    <t>The nonlinear mechanics of the arterial walls is analyzed as an important example of biological solid mechanics. After the introduction of the necessary background on matrices and tensors, the stresses and strains in the arterial wall are defined. Then, the fundamental concept of the strain energy function and its particular forms used in the vascular mechanics are introduced. The experiments (biaxial stretch and inflation-extension) aimed at the estimation of the wall material properties are discussed. In addition to the properties of the normal arterial wall, the mechanics in vascular diseases are studied. First, the stresses and stiffness in atherosclerotic arteries are analyzed, and then the effects of hypertension are discussed. In the second part of the class, the fluid mechanics of blood is studied, including the velocity profiles and shear stress distribution. The non-Newtonian features of blood rheology are presented as well. In the last part of the class, the cells in the blood circulation are considered with the main focus on the red blood cells. The micropipette experiment to estimate the elastic moduli of the red blood cell wall is studied in detail. The recent studies of the red blood cell circulation under pathological conditions (cancer, malaria) are discussed also. In all sections, the latest results of the computational modeling are used to support the main goals of the course. In addition to the regular (weekly) assignments, the students will be given original journal papers to discuss as a group. Finally, the students will be working on a computational project related to one of the major topics of the course.</t>
  </si>
  <si>
    <t>EN.585.719</t>
  </si>
  <si>
    <t>Sparse Representations in Computer Vision and Machine Learning</t>
  </si>
  <si>
    <t>Sparse and redundant representations constitute a fascinating area of research in signal and image processing. This is a relatively young field that has been taking form for the last 15 years or so, with contributions from harmonic analysis, numerical algorithms and machine learning, and has been vastly applied to myriad of problems in computer vision and other domains. This course will focus on sparsity as a model for general data, generalizing many different other constructions or priors. This idea - that signals can be represented with just a few coefficients - leads to a long series of beautiful (and surprisingly, solvable) theoretical and numerical problems, and many applications that can benefit directly from the new developed theory. In this course we will survey this field, starting with the theoretical foundations and systematically covering the knowledge that has been gathered in the past years. This course will touch on theory, numerical algorithms, and applications in image processing and machine learning.</t>
  </si>
  <si>
    <t>EN.585.720</t>
  </si>
  <si>
    <t>Orthopedic Biomechanics</t>
  </si>
  <si>
    <t>This course serves as an introduction to the field of orthopedic biomechanics for the biomedical engineer. Structure and function of the musculoskeletal system in the intact and pathologic states will be reviewed. Further discussion will focus on the design of orthopedic implants for the spine and the appendicular skeleton. Biomechanical principles of fracture repair and joint reconstruction will also be addressed. Peerreviewed journal publications will be used to explore the latest developments in this field.</t>
  </si>
  <si>
    <t>EN.585.723</t>
  </si>
  <si>
    <t>Functional Neuroimaging and Neural Sensors</t>
  </si>
  <si>
    <t>Through lectures, small group activities, and independent research, this course illustrates the fundamental technologies used for neuroimaging and sensing neural systems across a range of domains including clinical and consumer devices. Topics include neurophysiological basis for neural sensing; electrical, hemodynamic, and optical property-based functional neuroimaging; invasive and noninvasive neural sensing; neural sensing for clinical applications and consumer devices; and an overview of the regulatory landscape for neural sensing systems. By the end of this course, students will be able to explain strengths, limitations, and potential future trajectories of a range of neuroimaging and neural sensing technologies. Small group work will focus on current and future research trends in functional neuroimaging.</t>
  </si>
  <si>
    <t>EN.585.724</t>
  </si>
  <si>
    <t>Neural Prosthetics: Science, Technology, and Applications</t>
  </si>
  <si>
    <t>This course covers the physiological bases, applications, and ethical considerations of emerging neuroprosthetic devices, covering a wide range of neural interfaces. Examples include cochlear implants, retinal implants for vision restoration, and brain-computer interfaces for delivering haptic feedback. Homework assignments will involve processing neural recordings, neural stimulation modeling, collecting and analyzing your own psychophysical data, and writing reviews of recent research publications. Working knowledge of MATLAB or a similar programming language is strongly recommended.</t>
  </si>
  <si>
    <t>EN.585.725</t>
  </si>
  <si>
    <t>Biomedical Engineering Practice and Innovation</t>
  </si>
  <si>
    <t>This course will cover hands-on experimental and design work primarily in the areas of physiology, cell and tissue engineering, and biomedical instrumentation. In addition to teaching and allowing students to perform state-of-the art experimental techniques, this course will emphasize the business end of biomedical engineering innovation including identification of engineered needs and FDA regulation.</t>
  </si>
  <si>
    <t>EN.585.726</t>
  </si>
  <si>
    <t>Biomimetics in Biomedical Engineering</t>
  </si>
  <si>
    <t>Biomimetics refers to human-made processes, substances, devices, or systems that imitate nature. This course focuses on substances prepared and engineered to meet biomedical uses. It is designed to provide students with: (1) an understanding of the biomimetic process of self-assembly, (2) an introduction to bioengineering biological materials and novel biomimetic materials that include forms and structures useful to bioprocesses, and (3) an understanding of how different instruments may be used for imaging, identification, and characterization of biological and biomimetic materials. Detailed knowledge of biological structure hierarchy is essential for most areas of biomedical engineering, and biological materials are becoming an increasingly important resource in creating new biomimetic materials that possess targeted biological structural and functional properties.</t>
  </si>
  <si>
    <t>EN.585.729</t>
  </si>
  <si>
    <t>Cell and Tissue Engineering</t>
  </si>
  <si>
    <t>Cell and tissue engineering are dynamic and rapidly growing fields within biomedical engineering. This course will examine fundamental biological processes and medical engineering tools essential to regenerative medicine both at the singlecell and the whole-organism levels. Topics include stem cell engineering, cell–matrix and cell–scaffold interactions, cell–cell interactions and tissue morphogenesis, wound healing, and in vitro organogenesis. Prerequisite(s): Knowledge of basic molecular and cellular biology, physiology, and math through ordinary differential equations is required. Students can either take 585.729 OR 580.641/642 unless they have permission from their advisor.</t>
  </si>
  <si>
    <t>EN.585.732</t>
  </si>
  <si>
    <t>Advanced Signal Processing for Biomedical Engineers</t>
  </si>
  <si>
    <t>One of the defining topics for biomedical engineering, signal processing is playing an increasingly important role in modern times, mostly due to the ever-increasing popularity of portable, wearable, implantable, wireless, and miniature medical sensors/ devices. The primary function of all the medical devices is acquisition and analysis of some kind of physiological data, often in a semi continuous real-time manner. From a medical stand point, the benefits that the devices offer pertain to complementing the physician in diagnosis, prognosis, and therapeutics. High-quality signal processing algorithm is a vital part of this process. On the research side, accurate signal processing plays a fundamentally important role in a medical device’s validation and translation from bench to bedside. Mastering this important topic can equip the student with skills that can be immediately applied in real-life technological innovations. This new online course will primarily focus on advanced topics in signal processing, including linear and nonlinear analysis of primary electro-physiological signals. Topics will include more traditional Auto-regressive Moving Average Analysis, spectral analysis, and singular value decomposition as well as advanced methods such as entropy computation, dimensionality estimation, state-space reconstruction, recurrence time analysis, parameter estimation, etc. Students will be challenged to write their own algorithms to reproduce select published research results.</t>
  </si>
  <si>
    <t>EN.585.734</t>
  </si>
  <si>
    <t>Biophotonics</t>
  </si>
  <si>
    <t>Biophotonics is an emerging multidisciplinary field, embracing all light-based technologies applied to life sciences and medicine. This course introduces fundamental principles of biophotonics and their application to real-world devices for diagnostics, patient monitoring and therapy. In a series of “at-home” laboratory exercises, students will design optical systems for evaluation of optical properties of biological media and learn computational methods to simulate light transport in such media. Experimental kits based on smartphone technology and 3D printing are distributed to each student to enable “hands-on” laboratory measurements in spectroscopy and imaging to reinforce the principles learned in the lectures. Clinical and point-of-care applications of modern biophotonic devices including fluorescence spectroscopy, scattering spectroscopy, optical coherence tomography, advanced microscopy, cellphone-based sensors and photodynamic therapy will be covered in detail. Students will also learn the process of transitioning biophotonic devices from the laboratory to the clinical setting, highlighting the critical steps required for a successful transition. For each application, students will understand how the device works, how the observed optical signature is related to fundamental tissue properties, and how the system performance is assessed through quantitative analysis. These skills will be developed throughout the course and used to evaluate devices not covered in the course as part of a project. In the project, students will apply the principles covered in this course to these selected devices.</t>
  </si>
  <si>
    <t>EN.585.735</t>
  </si>
  <si>
    <t>Applied Bioelectrical Engineering</t>
  </si>
  <si>
    <t>This course covers diverse applications of bioelectrical measurements, manipulation and therapy in engineering practice. Topics include functional electrical stimulation, deep brain stimulation, cardiac pacing and defibrillation, tissue ablation and electromanipulation of cells. Students will receive practical training in the simulation of electrical potentials and electric fields in volume conductors, using the finite element package COMSOL. It will be used throughout the course to explore theoretical concepts as well as in a class project. Recommended background: familiarity with MATLAB; cardiac, muscle and brain physiology; and cellular electrophysiology.</t>
  </si>
  <si>
    <t>EN.585.739</t>
  </si>
  <si>
    <t>Models of the Neuron</t>
  </si>
  <si>
    <t>Single-neuron modeling, emphasizing the use of computational models as links between the properties of neurons at several levels of detail. Topics include thermodynamics of ion flow in aqueous environments, biology and biophysics of ion channels, gating, nonlinear dynamics as a way of studying the collective properties of channels in a membrane, synaptic transmission, integration of electrical activity in multi-compartment dendritic tree models, and properties of neural networks. Students will study the properties of computational models of neurons; graduate students will develop a neuron model using data from the literature. Recommended Course Background: AS.110.302 or equivalent.</t>
  </si>
  <si>
    <t>EN.585.740</t>
  </si>
  <si>
    <t>Cognitive Brain Mapping</t>
  </si>
  <si>
    <t>Neuroimaging provides a fascinating and versatile window into how the brain works. This course introduces students to both structural and functional Magnetic Resonance Imaging (fMRI) techniques used to investigate the neural basis of cognition. It is well-suited for beginners who are simply curious, as well as for more advanced students eager to deepen their understanding of how the mind can be studied through brain imaging. The course will be delivered asynchronously and will include hands-on, computer-based lab exercises. Students will gain practical experience working with MRI and fMRI data, including how to open and navigate brain imaging files, draw lesions in damaged brains, run basic functional MRI and connectivity analyses, and generate their own neuroimaging meta-analysis. In addition to developing technical skills, students will learn to explain key turning points in the history of fMRI research, such as the discovery and validation of the BOLD response, shifts in experimental design (e.g., block versus event-related paradigms), the emergence of connectivity analyses, and the development of more advanced approaches like fMRI adaptation and pattern-based analysis. Finally, students will critically examine major challenges in the field, including common pitfalls in interpreting fMRI results, the reproducibility crisis in neuroimaging research, and current ethical issues related to the use of fMRI.</t>
  </si>
  <si>
    <t>EN.585.741</t>
  </si>
  <si>
    <t>MR Imaging in Medicine</t>
  </si>
  <si>
    <t>Advances in magnetic resonance Imaging (MRI) have resulted in developing techniques such as functional brain imaging, diffusion imaging, delayed contrast enhanced imaging, and tagged imaging. These techniques offer insights into the brain and cardiac structure and function. With increased availability of these techniques in clinical MRI machines, they are now entering clinical practice for the evaluation of neuro and cardiovascular disease. This course presents the underlying physical foundation of MRI, with a focus on more advanced techniques and their application in clinical research and practice. Topics that are covered include functional MRI, diffusion weighted imaging and techniques for mapping white matter fiber bundles, and cardiac cine and tagged imaging. Attention is also drawn to possible artifacts and pitfalls.</t>
  </si>
  <si>
    <t>EN.585.742</t>
  </si>
  <si>
    <t>Regenerative Tissue Engineering</t>
  </si>
  <si>
    <t>This course focuses on the application of engineering fundamentals to designing biological tissue substitutes. Concepts of tissue development, structure and function will be introduced. Students will learn to recognize the majority of histological tissue structures in the body and understand the basic building blocks of the tissue and clinical need for replacement. The engineering components required to develop tissue-engineered grafts will be explored including biomechanics and transport phenomena along with the use of biomaterials and bioreactors to regulate the cellular microenvironment. Emphasis will be placed on different sources of stem cells and their applications to tissue engineering. Clinical and regulatory perspectives will be discussed.Prerequisite(s): Knowledge of basic molecular and cellular biology, physiology, and math through ordinary differential equations is required.</t>
  </si>
  <si>
    <t>EN.585.743</t>
  </si>
  <si>
    <t>Modeling Approaches to Cell and Tissue Engineering</t>
  </si>
  <si>
    <t>Through lectures, quizzes, mathematical /computational projects, and assignments, this course presents the main modeling approaches, such as cell- and rule-based methods, to cell and tissue engineering. This course covers the topics of cancer (tumor development and treatment), bone (bone fracture healing and use of implants), and skeletal muscle regeneration (after major volume losses). In each case, a multicellular system us considered where several groups of cells divide, migrate, differentiate and dye. In addition, these cells interact with the microenvironment, including the extracellular matrix whose mechanical properties, stiffness, and stress relaxation time have effects on the cell’s fate. This course will be an effective tool for design and optimization of scaffolds, implants, and materials in regenerative medicine.</t>
  </si>
  <si>
    <t>EN.585.744</t>
  </si>
  <si>
    <t>Biomedical Applications of Glycoengineering</t>
  </si>
  <si>
    <t>Glycoengineering refers to the improvement of glycosylated molecules through manipulating their glycans (“glycans” is a broad term referring to sugars attached to proteins or lipids that includes all types of carbohydrates including monosaccharides, oligosaccharides, and polysaccharides). This course will cover the basic glycobiology of sugars and then focus on the manipulation of glycans for therapeutic purposes. Specific biomedical applications covered include the role of glycoengineering in the production and efficacy of therapeutic proteins (e.g., monoclonal antibodies); the impact of dietary sugars on human health; and the prospects for carbohydrate-based therapies for intractable human diseases such as metastatic cancer and neurological disorders such as Alzheimer’s disease. Suggested prerequisites include university level cellular biology, molecular biology, or biochemistry courses.</t>
  </si>
  <si>
    <t>EN.585.746</t>
  </si>
  <si>
    <t>Biochemical and Cellular Engineering</t>
  </si>
  <si>
    <t>This course provides a foundation of molecular and biochemical principles required for engineering cells accompanied by a survey of biomedical applications of biochemically engineered cells with a focus on medical uses. Class lectures provide an overview of molecular biology and biochemistry fundamentals that include protein/ligand binding, receptor/ligand trafficking, cell-cell interactions, cell-matrix interactions, and cell adhesion and migration at both theoretical and experimental levels. Lectures will also cover the effects of physical (e.g., shear stress, strain), biochemical (e.g., cytokines, growth factors), and other (e.g., electrical) stimuli on cell function, emphasizing gene regulation, signal transduction, metabolic engineering, polymeric biomaterials, and drug and gene delivery. Finally, lectures will cover biomedical applications of engineered cells ranging from viral-based systems, prokaryote manipulation (e.g., in the context of the microbiome), to cell-based therapies (e.g., CAR T cell and other immunotherapies). An ongoing emphasis in course lectures will be to provide illustrative examples of how “Nature” engineers cells and how these lessons can be applied by biomedical engineers for clinical translation applications. In addition to lectures provided by course instructors, students will work in teams on a course project on a topic of their choosing (subject to course instructor approval) that involves an oral presentation as well as a written report.Recommended prerequisites: Background in undergraduate level cell biology, biochemistry, and/or organic chemistry.</t>
  </si>
  <si>
    <t>EN.585.747</t>
  </si>
  <si>
    <t>Advances in Cardiovascular Medicine</t>
  </si>
  <si>
    <t>This course is designed to provide in-depth instruction in cardiovascular physiology and pathophysiology, exploring the body’s own intrinsic feedback responses to cardiovascular perturbations as well as extrinsic engineering interventions related to the prevention, diagnosis, and/or treatment of those perturbations. Course topics are approached through a systems engineering lens, examining how both intrinsic control systems and extrinsic interventions support the nuanced, complex, and interdependent functions of the cardiovascular system. Students will also research and present on selected current advances in cardiovascular engineering.</t>
  </si>
  <si>
    <t>EN.585.751</t>
  </si>
  <si>
    <t>Immunoengineering</t>
  </si>
  <si>
    <t>Immunoengineering is a quickly growing field where engineering principles are used to better understand the dynamics of the immune system and enhance the efficacy of current immunotherapeutics. This course will provide relevant background in our understanding of various immune responses including to pathogens, self, allergens, cancer, and biomaterials. An in-depth engineering perspective and approach will be taken in the analysis of these responses and the development of novel therapeutics. Topics include systems immunology, genetic engineering, nanotechnology, hydrogels, biomaterials, vaccines, cancer immunotherapy, autoimmunity, tissue engineering, stem cells, viruses, bacteria, etc.</t>
  </si>
  <si>
    <t>EN.585.761</t>
  </si>
  <si>
    <t>Bioentrepreneurship</t>
  </si>
  <si>
    <t>Through lectures, discussion, and business planning, students will learn how to assess the feasibility of a life sciences startup venture. Over the course of the semester students will evaluate financial and market opportunities, build financial projections and author a business plan. Students will debate a wide range of important issues facing entrepreneurs. As a class, students will identify opportunity, assess the skills and talents of successful entrepreneurs, and investigate models and approaches that help leaders navigate the uncertainties of entrepreneurship and creating new life science ventures. Projects relating to imaging, instrumentation, or translational tissue engineering would be eligible for inclusion.</t>
  </si>
  <si>
    <t>EN.585.762</t>
  </si>
  <si>
    <t>Computational Biomechanics and Physiological Modeling</t>
  </si>
  <si>
    <t>This course introduces the theory and application of computational methods for modeling systems of the human body, with an emphasis on multiscale musculoskeletal biomechanics, as well as the physiology surrounding the function of the human musculoskeletal system. Students will begin by developing foundational mathematical skills in MATLAB, using differential equations to model and predict physiological processes such as action potential propagation, the respiratory system, and bone remodeling. Building on this foundation, the course explores advanced computational approaches, including inverse kinematics, inverse dynamics, and computed muscle control for simulating human movement in OpenSim. Students will also learn nonlinear finite element analysis for modeling human tissue dynamics and predicting injury, as well as having an opportunity to dive into cutting-edge techniques from current scientific literature. By the end of the course, students will gain both theoretical understanding and practical skills in computational physiology and biomechanics, preparing them to tackle real-world problems with modeling and simulation.</t>
  </si>
  <si>
    <t>EN.585.770</t>
  </si>
  <si>
    <t>Global Health Engineering</t>
  </si>
  <si>
    <t>Most biomedical engineers trained in low-resource settings are absorbed into the labor market as clinical engineers supporting hospitals. Once in hospitals, it has been difficult for these engineers to engage in scalable healthcare strengthening activity because they received siloed training that prevents them from adequately addressing the complex context of healthcare delivery. Additionally, many administrators and clinicians are not able to adequately engage clinical engineers because they are unaware of the scope of their activity and their role in healthcare delivery and healthcare strengthening. This course explores the scope of activity required of clinical engineers and their collaborators in poorly resourced healthcare settings. The objective of the course is to develop the core competencies required for clinical engineers to significantly impact the design and management of medical devices and healthcare systems. Topics include an analysis of the continuous engagement model for clinical engineering in low-resource settings, and the application of biomedical engineering design principles to quality management plans, device management plans, and capacity management plans.Prerequisite: Students should have completed one course within their focus area</t>
  </si>
  <si>
    <t>EN.585.771</t>
  </si>
  <si>
    <t>Biomedical Data Science</t>
  </si>
  <si>
    <t>Biomedical Data Science is a course designed to equip students with the basics of data science tools for data engineering, data analysis, and building artificial intelligence models in python.</t>
  </si>
  <si>
    <t>EN.585.779</t>
  </si>
  <si>
    <t>Principles and Applications of Modern X-ray Imaging and Computed Tomography</t>
  </si>
  <si>
    <t>This course provides students with an intermediate-level understanding of the physics, engineering, algorithms, and applications (clinical, pre-clinical, and industrial) of x-ray imaging and computed tomography (CT). Topics include the physics of x-ray interaction and detection, engineering principles of CT system design and operation, 3D image reconstruction using analytical and optimization-based algorithms, image quality and patient dose, and recent advances in CT technology. The students conduct computational projects involving simulation, processing, and reconstruction of x-ray data. There are also several group discussion assignments requiring independent exploration of scientific literature. Recommended background: Engineering Physics, Signals and Systems, or equivalent courses, and familiarity with Matlab.</t>
  </si>
  <si>
    <t>EN.585.781</t>
  </si>
  <si>
    <t>Frontiers in Neuroengineering</t>
  </si>
  <si>
    <t>Neuroscientists and neuroengineers are using state-of-the-art tools for understanding the mysteries of the brain. A suite of new approaches is allowing researchers to tap into the brain activity and to measure the electrical, molecular, cellular, and structural changes that underlie complex behaviors as well as neurological disorders such as Alzheimer’s and Parkinson’s disease. This technological burst, spurred by the recent BRAIN (Brain Research for Advancing Innovative Neurotechnologies) Initiative by the US government, affords a unique educational opportunity at Johns Hopkins-especially with the recently inaugurated Kavli Neuroscience Discovery Institute. This multi-instructor course will give students an opportunity to learn the latest advances in the field of neuroengineering from the best experts on campus who are currently contributing their pioneering research in this field.Prerequisite(s): Written permission from the instructor is required. Completion of all required core courses, as well as the core courses for your chosen focus area, is strongly recommended.</t>
  </si>
  <si>
    <t>EN.585.782</t>
  </si>
  <si>
    <t>Annotate A Genome</t>
  </si>
  <si>
    <t>The course will present practical and specific understanding of approaches for genome interpretation. Topics will include Common Variants, Rare and Novel Variants, Personal Genomics and the Environment, Ethical considerations in personal genomics, Structural Variation, Pharmacogenetic variants, and Genetic Trait Associations. Students will learn bioinformatic methods to predict the impact of variants and to rapidly pull published information about variants identified in a genome. Students will work in teams to do exercises and programming projects on personal genomics datasets. Recommended Background: prior coursework in Genetics, Intermediate Programming</t>
  </si>
  <si>
    <t>EN.585.783</t>
  </si>
  <si>
    <t>Introduction to Brain-Computer Interfaces</t>
  </si>
  <si>
    <t>Recent advances in neural interfacing and neural imaging technology and the application of various signal processing methodologies have enabled us to better understand and then utilize brain activity for interacting with computers and other devices. In this course, we will explore these technologies and approaches for acquiring and then translating brain activity into useful information. We will also discuss the components of a brain-computer interface system, including invasive and noninvasive neural interfaces, the clinical and practical applications for a variety of users, and the ethical considerations of interfacing with the brain. Students will investigate the benefits and limitations of commonly used signal processing and machine learning methods (which include independent component analysis, Bayesian inference, dimensionality reduction, and information theoretic approaches), and then apply these methods on real neural data. We aim to equip students with the foundational knowledge and skills to pursue opportunities in the emerging field of brain-computer interfacing.</t>
  </si>
  <si>
    <t>EN.585.785</t>
  </si>
  <si>
    <t>Computational Medicine: Cardiology</t>
  </si>
  <si>
    <t>The goal of this course is to investigate the cardiovascular system using a quantitative, model-oriented approach. The course will address the unique cardiac features that allow for cardiac electrical conduction and the resulting blood flow in the circulatory system through a series of lectures, selected readings, and assignments. Topics are organized in two segments: (1) Electrophysiology focused on the biophysics of single-cell to organ systems in health and disease, (2) Cardiovascular mechanics and CNS regulation of blood circulation. Students will complete two research-based projects throughout the semester that each investigate emerging engineering technologies that are beginning to reshape the standards of clinical care.</t>
  </si>
  <si>
    <t>EN.585.788</t>
  </si>
  <si>
    <t>Foundations of Computational Biology and Bioinformatics</t>
  </si>
  <si>
    <t>This course provides students with a foundation in the basics of statistical and algorithmic approaches developed in computational biology and bioinformatics over the past 30 years, with emphasis on the need to extend these approaches to emerging problems in the field. Each week will consist of an in-person lecture and an in-person practical session where students will collaborate in groups on assigned work based on the lecture material. Lectures for this course will also be available for download/viewing. Group final projects are the capstone for this course.</t>
  </si>
  <si>
    <t>EN.585.795</t>
  </si>
  <si>
    <t>Projects in Medical Sensors and Devices</t>
  </si>
  <si>
    <t>This course aims to provide practical, hands-on design experience to complement the pedagogical lecture-based online learning. Students with limited experience will design basic sensors and device solutions with practical biomedical use. Experienced students will utilize their basic knowledge of biomedical sensors, electronics, and measurements to design and build practical medical devices. Five examples are presented: 1) Build a biomedical signal amplifier in one laboratory to record own electrocardiogram. Then, advanced students will be challenged to develop an abnormal heart rhythm monitoring device using a microcontroller or mobile device. 2) Students will design a touch or force sensor and a measurement circuit in another laboratory. Advanced students will mount this sensor on their feet to detect footstep and assess gait, and are challenged to develop an algorithm to detect falls (a serious problem with the elderly). 3) Develop a gaming solution for people with disability (e.g., paralyzed). The basic project will be to experiment with sensors to detect movements (e.g. foot, head or eye) that can serve as an alternative sensor to a gaming interface like a mouse or a joystick. 4) The fourth hands-on project will challenge students with the problem of detecting sleep apnea (e.g. cessation of breathing attributed to sudden infant death syndrome). 5) The fifth, and final project, will be to understand the principles of brain-machine interface (BMI), and contribute to a team effort to design or use a brain wave monitoring device to control a computer or a prosthetic hand. Student teams will break down the BMI into its design component and research solutions that may have clinical and non-clinical uses, discover the state of the art and learn about the emerging frontiers in academia and industry. The course will be structured to have 5 online and remote tutorial sessions on each of the five projects as well as in-person laboratory work.</t>
  </si>
  <si>
    <t>applied_physics</t>
  </si>
  <si>
    <t>EN.615.641</t>
  </si>
  <si>
    <t>Mathematical Methods for Physics and Engineering</t>
  </si>
  <si>
    <t>This course covers a broad spectrum of mathematical techniques essential to the solution of advanced problems in physics and engineering. Topics include ordinary and partial differential equations, contour integration, tabulated integrals, saddlepoint methods, linear vector spaces, boundary-value problems, eigenvalue problems, Green’s functions, integral transforms, and special functions. Application of these topics to the solution of problems in physics and engineering is stressed. Prerequisite(s): Vector analysis and ordinary differential equations (linear algebra and complex variables recommended).</t>
  </si>
  <si>
    <t>EN.615.642</t>
  </si>
  <si>
    <t>Electromagnetics</t>
  </si>
  <si>
    <t>Maxwell’s equations are derived and applied to the study of topics including electrostatics, magnetostatics, propagation of electromagnetic waves in vacuum and matter, antennas, wave guides and cavities, microwave networks, electromagnetic waves in plasmas, and electric and magnetic properties of materials. Prerequisite(s): Knowledge of vector analysis, partial differential equations, Fourier analysis, and intermediate electromagnetics.</t>
  </si>
  <si>
    <t>EN.615.647</t>
  </si>
  <si>
    <t>Fundamentals of Sensors</t>
  </si>
  <si>
    <t>Students will receive an overview of sensors and methods to build networks and systems using sensors. The physics of detectors including fundamental technologies and sampling interfaces will be discussed. Sensor technologies for chemical, biological, nuclear, and radiological detection will be studied in detail. Evaluation methods will be presented for sensor selection based on application-specific information including sensor performance, environmental conditions, and operational impact. DODAF 2.0 methods will be taught and a project based on several viewpoints will be required and presented. Additional studies will include methods for combining results from various sensors to increase detection confidence. As part of the course, students will be given a threat scenario and will be required to select a sensor suite and networking information to design a hypothetical system considering the threat, sensor deployment cost, and logistics. Prerequisite(s): An undergraduate degree in engineering, physics, or a related technical discipline.</t>
  </si>
  <si>
    <t>EN.615.651</t>
  </si>
  <si>
    <t>Statistical Mechanics and Thermodynamics</t>
  </si>
  <si>
    <t>After a brief historical review of thermodynamics and statistical mechanics, the basic principles of statistical mechanics are presented. The classical and quantum mechanical partition functions are discussed and are subsequently used to carry out derivations of the basic thermodynamic properties of several different systems. Topics discussed include Planck’s black body radiation derivation and the Einstein-Debye theories of the specific heats of solids. The importance of these topics in the development and confirmation of quantum mechanics is also examined. Other topics discussed include Fermi Dirac and the Bose-Einstein statistics and the cosmic background radiation. The importance of comparisons between theory and data is stressed throughout.</t>
  </si>
  <si>
    <t>EN.615.653</t>
  </si>
  <si>
    <t>Classical Mechanics</t>
  </si>
  <si>
    <t>This is an advanced course in classical mechanics that introduces techniques that are applicable to contemporary pure and applied research. The material covered provides a basis for a fundamental understanding of not only quantum and statistical mechanics but also nonlinear mechanical systems. Topics include the Lagrangian and Hamiltonian formulation of classical mechanics, Euler’s rigid body equations of motion, Hamilton-Jacobi theory, and canonical perturbation theory. These methods are applied to force-free motion of a rigid body, oscillations of systems of coupled particles, and central force motion including the Kepler problem and scattering in a Coulomb potential. Applications are emphasized through in-class examples and homework.</t>
  </si>
  <si>
    <t>EN.615.654</t>
  </si>
  <si>
    <t>Quantum Mechanics</t>
  </si>
  <si>
    <t>This course presents the basic concepts and mathematical formalism of quantum mechanics. Topics include the mathematics of quantum mechanics, the harmonic oscillator and operator methods, quantum mechanics in three dimensions and angular momentum, quantum mechanical spin, quantum statistical mechanics, approximation methods, and quantum theory of scattering.</t>
  </si>
  <si>
    <t>EN.615.661</t>
  </si>
  <si>
    <t>Introduction to Planetary Science</t>
  </si>
  <si>
    <t>The course is intended as an introduction to planetary science as a field of study. A basic understanding of all Solar System bodies will be provided, as well as an introduction to the missions, instruments, and tools that have been used to explore them. The vision for the designed course is to excite the students about exploration of the Solar System, and encourage them to learn more about either one particular body (ex. Mars, Venus, etc.) or one particular way of studying planets (ex. spectroscopy, mapping, etc). This course could be a direct lead in to either EN.615.663 Physics in Lunar Exploration or EN.615.664 Introduction to Exoplanets.</t>
  </si>
  <si>
    <t>EN.615.662</t>
  </si>
  <si>
    <t>Introduction to Astrophysics</t>
  </si>
  <si>
    <t>In this course we explore the properties of stellar interiors in order to understand stellar structure and evolution. Our emphasis will be on the fundamental physics of matter and radiation at high pressure and temperature. Topics will include star formation by gravitational collapse, thermodynamics of matter and radiation, hydrostatic equilibrium, radiative and convective heat transport, energy production in stars (burning of Hydrogen, Helium, and advanced burning), endpoints of stellar evolution (white dwarfs, neutron stars, and black holes). Familiarity with multi-variable calculus, classical mechanics, thermodynamics, statistical mechanics, and quantum mechanics at the undergraduate level is required.</t>
  </si>
  <si>
    <t>EN.615.663</t>
  </si>
  <si>
    <t>Physics in Lunar Exploration</t>
  </si>
  <si>
    <t>NASA is returning to the Moon. Through lectures, discussion, and projects, this course provides a comprehensive survey of the ‘why’ and ‘how’ of lunar exploration from the distant past to the near future. Topics include the history of lunar exploration, the Moon’s orbit, analytical laboratory techniques, remote sensing techniques, in situ resource utilization, and much more. For each topic, the background and underlying physics are described and solutions discussed. References for in depth analysis are also provided. Comprehensive discussions re-enforce critical concepts each week. Students will engage in four projects over the course that will explore the Moon’s orbit, conceptualize a lunar orbiter, and produce hypothetical exploration missions placed in the 1970s and today. Students will discuss the physical consequences for errors and misconceptions of the Moon and lunar exploration in popular media. These projects will require students to engage in a range of individual and team presentation formats. Upon completion, students will be well-situated to identify companion courses in the curriculum for follow-on in depth, quantitative skills development.</t>
  </si>
  <si>
    <t>EN.615.664</t>
  </si>
  <si>
    <t>Introduction to Exoplanets</t>
  </si>
  <si>
    <t>This course will introduce students to the interdisciplinary study of exoplanets, a rapidly changing field leading the way to constraining the prevalence of life in our galaxy. Blending concepts from astronomy, physics, and planetary science, we will explore how planets orbiting stars elsewhere in the galaxy are discovered and characterized. We will review the latest theories in how planets form and evolve and examine trends across the exoplanet population. We will tackle the question: “Are we alone?” and compare these strange new worlds to our own Solar System. Throughout we will highlight the latest results from space missions like the James Webb Space Telescope and delve into the critical role of past, present, and future missions in solving open questions in exoplanet science.</t>
  </si>
  <si>
    <t>EN.615.665</t>
  </si>
  <si>
    <t>Modern Physics</t>
  </si>
  <si>
    <t>This course covers a broad spectrum of topics related to the development of quantum and relativity theories. The understanding of modern physics and its applications is essential to the pursuit of advanced work in materials, optics, and other applied sciences. Topics include the special theory of relativity, particle-like properties of light, wave-like properties of particles, wave mechanics, atomic and nuclear phenomena, elementary particles, statistical physics, solid state, astrophysics, and general relativity.Prerequisite(s): Undergraduate degree in physics or engineering.</t>
  </si>
  <si>
    <t>EN.615.666</t>
  </si>
  <si>
    <t>Earth Systems and AI</t>
  </si>
  <si>
    <t>This course provides an integrated introduction to Earth science, emphasizing Earth as a coupled nonlinear, dynamical system composed of interacting physical, chemical, biological, and human components. Students examine Earth’s planetary evolution and the major Earth system spheres—lithosphere, hydrosphere, atmosphere, biosphere, and cryosphere—using modern Earth observations and modeling. The course incorporates foundational concepts in artificial intelligence (AI) as applied to Earth system data and modeling. Students examine how AI methods complement physically based approaches in the analysis of observations and in Earth system simulation and forecasting.</t>
  </si>
  <si>
    <t>EN.615.671</t>
  </si>
  <si>
    <t>Principles Of Optics</t>
  </si>
  <si>
    <t>This course teaches the student the fundamental principles of geometrical optics, radiometry, vision, and imaging and spectroscopic instruments. It begins with a review of basic, Gaussian optics to prepare the student for advanced concepts. From Gaussian optics, the course leads the students through the principles of paraxial ray-trace analysis to develop a detailed understanding of the properties of an optical system. The causes and techniques for the correction of aberrations are studied. The course covers the design principles of optical Instruments, telescopes, microscopes, etc. The techniques of light measurement are covered in sessions on radiometry and photometry. Prerequisite(s): Undergraduate degree in physics or engineering.</t>
  </si>
  <si>
    <t>EN.615.680</t>
  </si>
  <si>
    <t>Materials Science</t>
  </si>
  <si>
    <t>This course covers a broad spectrum of materials-related topics designed to prepare the student for advanced study in the materials arena. Topics include atomic structure, atom and ionic behavior, defects, crystal mechanics, strength of materials, material properties, fracture mechanics and fatigue, phase diagrams and phase transformations, alloys, ceramics, polymers, and composites. Prerequisite(s): An undergraduate degree in engineering, physics, or a related technical discipline.</t>
  </si>
  <si>
    <t>EN.615.683</t>
  </si>
  <si>
    <t>Materials in Extreme Environments</t>
  </si>
  <si>
    <t>Why can the nuclear fuel cladding in a fission reactor cause an explosion in the core? If SiC vaporizes in a gas-turbine environment, why have SiC ceramic matrix composites become standard in aerospace engines? Why do all materials seemingly vaporize in the cold vacuum of very low earth orbit? Why is the precious metal iridium an excellent material for both jewelry and hypersonics? How can cork keep astronauts comfortable during atmospheric re-entry? This course will teach students fundamental material degradation mechanisms that drive materials selection and material failure in extreme environments, such as oxidation, creep, fatigue, embrittlement, interdiffusion, thermal cycling and coefficient of thermal expansion mismatch, stability under fission and fusion irradiation. A thorough understanding of various extreme environments will be gained and used to understand legacy and recent advanced materials selection for a variety of applications, such as industrial and aerospace gas turbines, nuclear fission and fusion reactors, very low earth orbit, hypersonics, and re-entry. Specific material systems to be covered are Ni-base superalloys, oxidation resistant overlay coatings, thermal barrier coatings, SiC ceramic matrix composites, environmental barrier coatings, accident tolerant fuel cladding, atomic oxygen resistant polymers, thermal protection systems, and ultrahigh temperature ceramics.</t>
  </si>
  <si>
    <t>EN.615.685</t>
  </si>
  <si>
    <t>Quantum Measurement &amp; Sensing</t>
  </si>
  <si>
    <t>This course teaches the principles and techniques of quantum measurement and quantum sensing. Students will learn how quantum systems can be used to detect time, magnetic fields, and gravitational forces. Topics for this course include quantum state preparation and measurement, entanglement, and applications in atomic clocks, interferometry, and magnetometry. This course combines the foundations of quantum measurement and sensing with case studies of experimental platforms and emerging technologies.</t>
  </si>
  <si>
    <t>EN.615.715</t>
  </si>
  <si>
    <t>Applied Atomic and Molecular Physics</t>
  </si>
  <si>
    <t>This advanced elective course will emphasize the interaction of atoms and molecules with light, as appropriate for the modern laser era. Beginning with quasi-classical features of two-level atoms, we move on to atom-light interactions with selection rules and “forbidden transitions.” Internal structure of the atom will be treated with the theory of the Hydrogen-like atoms, including spin-orbit terms, and calculation of the fine structure and hyperfine structure using perturbation theory. Atoms in magnetic and electric fields. Beginning with helium, we will discuss multi-electron atoms, and introduce multi-electron approximation methods such as the Hartree-Fock self-consistent fields, LCAO (linear combination of atomic orbitals), and DFT (density functional theory). We will discuss vibrational and rotational spectra of simple molecules such as diatomics, and general properties of multi-atom molecules. Important time-dependent processes such as fluorescence decay, optical transitions, and collisions will be discussed. Finally, we will discuss experimentation and applications such as cesium atomic clocks, optical pumping, laser cooling and Bose-Einstein condensation. Where possible, practical examples will be chosen from atomic and molecular species of interest to atmospheric science and space science.</t>
  </si>
  <si>
    <t>EN.615.744</t>
  </si>
  <si>
    <t>Physics of Space Systems I</t>
  </si>
  <si>
    <t>This is the first course in a two-course series (second course is 615.745) where students learn the fundamentals of designing space systems. The focus is on the underlying physics of major spacecraft subsystems, orbits, and launch vehicles. In this first course, topics include an overview of space systems engineering, the space environment, astrodynamics, space communications, orbit determination, propulsion, and spacecraft attitude determination and control. Concepts are introduced through lectures and then reinforced through homework assignments that include modeling, simulation, and analysis using MATLAB.Prerequisites: College courses in physics, calculus, and linear algebra.</t>
  </si>
  <si>
    <t>EN.615.745</t>
  </si>
  <si>
    <t>Physics of Space Systems II</t>
  </si>
  <si>
    <t>This is the second course in a two-course series (first course is 615.644) that teaches a physics-based approach to space systems engineering. The focus is on the underlying physics of major spacecraft subsystems, orbits, launch vehicles, and other mission considerations. This provides a crucial foundation for informed decision making when applying systems engineering processes (requirements and risk management, verification and validation, etc.) to space systems. This second course emphasizes design through a project consisting of several interrelated homework assignments and other activities. The project is a proposal of a preliminary space mission design based on analyses established in the two-course series. Topics covered in this course include mission design, power systems, thermal control, communications, launch selection, sizing spacecraft components, and tools for design iteration. Concepts are introduced through lectures and then reinforced through homework assignments, visualization tools, modeling, simulation, analysis with MATLAB.</t>
  </si>
  <si>
    <t>EN.615.747</t>
  </si>
  <si>
    <t>Sensors and Sensor Systems</t>
  </si>
  <si>
    <t>The primary objective of this course is to present recent advances made in the field of sensors. A broad overview includes optical, infrared, hyperspectral, terahertz, biological, magnetic, chemical, acoustic, and radiation sensors. The course will examine basic sensor operation and the implementation of sensors in measurement systems. Other topics to be covered are physical principles of sensing, interface electronic circuits, and sensor characteristics. Prerequisite(s): An undergraduate degree in engineering, physics, or a related technical discipline.</t>
  </si>
  <si>
    <t>EN.615.748</t>
  </si>
  <si>
    <t>Introduction to Relativity</t>
  </si>
  <si>
    <t>After a brief review of the theory of special relativity, the mathematical tools of tensor calculus that are necessary for understanding the theory of general relativity will be developed. Relativistic perfect fluids and their stress-energymomentum tensor will be defined, and Einstein’s field equations will be studied. Gravitational collapse will be introduced, and the Schwarzschild Black Hole solution will be discussed.</t>
  </si>
  <si>
    <t>EN.615.749</t>
  </si>
  <si>
    <t>Applied Nuclear Physics</t>
  </si>
  <si>
    <t>No description available</t>
  </si>
  <si>
    <t>EN.615.751</t>
  </si>
  <si>
    <t>Modern Optics</t>
  </si>
  <si>
    <t>This course covers the fundamental principles of modern physical optics and contemporary optical systems. Topics include propagation of light, polarization, coherence, interference, diffraction, Fourier optics, absorption, scattering, dispersion, and image quality analysis. Special emphasis is placed on the instrumentation and experimental techniques used in optical studies.</t>
  </si>
  <si>
    <t>EN.615.753</t>
  </si>
  <si>
    <t>Plasma Physics</t>
  </si>
  <si>
    <t>This course is an introduction to the physical processes that govern the “fourth state of matter”, also known as plasma. Plasma physics is the study of ionized gas, which is the state of the matter for 99.9% of the apparent universe, from astrophysical plasmas, to the solar wind and Earth’s radiation belts and ionosphere. Plasma phenomena are also relevant to energy generation by controlled thermonuclear fusion. The challenge of plasma physics comes from the fact that many plasma properties result from the long-range Coulomb interaction, and therefore are collective properties that involve many particles simultaneously. Topics to be covered during class include motion of charged particles in electric and magnetic fields, dynamics of fully ionized plasma from both microscopic and macroscopic points of view, magneto-hydrodynamics, equilibria, waves, instabilities, applications to fusion devices, ionospheric, and space physics. .</t>
  </si>
  <si>
    <t>EN.615.755</t>
  </si>
  <si>
    <t>Space Physics</t>
  </si>
  <si>
    <t>This course studies the physics and the history of our utilization of space, the challenges and mitigation of making in situ observations in space. Topics include the history of solar system exploration; the solar cycle; the electrodynamics of the solar upper atmosphere responsible for the solar wind; and the solar wind interaction with unmagnetized and magnetized bodies—how this leads to planetary bow shocks, comets, and magnetospheres and how they are studied. Practical issues include penetrating radiation and its effects on spacecraft and man in space, magnetospheric storm disruptions of ground power distribution and spacecraft charging in the presence and absence of solar illumination with particular reference to applying this knowledge in exploring the outer solar system and beyond.</t>
  </si>
  <si>
    <t>EN.615.757</t>
  </si>
  <si>
    <t>Solid State Physics</t>
  </si>
  <si>
    <t>Students examine concepts and methods employed in condensed matter physics with applications in materials science, surface physics, and electronic devices. Topics include atomic and electronic structure of crystalline solids and their role in determining the elastic, transport, and magnetic properties of metals, semiconductors, and insulators. The effects of structural and chemical disorder on these properties are also discussed.</t>
  </si>
  <si>
    <t>EN.615.760</t>
  </si>
  <si>
    <t>Physics of Semiconductor Devices</t>
  </si>
  <si>
    <t>This course examines the physical principles underlying semiconductor device operation and the application of these principles to specific devices. Emphasis is placed on understanding device operation, rather than on circuit properties. Topics include elementary excitations in semiconductors such as phonons, photons, conduction electrons, and holes; charge and heat transport; carrier trapping and recombination; the pn junction; transistors; photodetectors; LEDs; and solar cells. Prerequisite(s): An undergraduate degree in engineering, physics, or a related technical discipline. An undergraduate level familiarity with quantum mechanics would be helpful.</t>
  </si>
  <si>
    <t>EN.615.761</t>
  </si>
  <si>
    <t>Intro To Oceanography</t>
  </si>
  <si>
    <t>This course covers the physical concepts and mathematics of the exciting field of oceanography and can be taken as an elective. It is designed for the student who wants to learn more about oceanography. Topics range from fundamental small waves to planetary-scale ocean currents. There will be a strong emphasis on understanding the basic ocean processes. Initial development gives a description of how the ocean system works and the basic governing equations. Additional subjects include boundary layers, flow around objects (seamounts), waves, tides, Ekman flow, and the Gulf Stream. Also studied will be the ocean processes that impact our climate such as El Nino and the Thermohaline Conveyor Belt. Prerequisite(s): Mathematics through calculus.</t>
  </si>
  <si>
    <t>EN.615.762</t>
  </si>
  <si>
    <t>Applied Computational Electromagnetics</t>
  </si>
  <si>
    <t>This course introduces the numerical methods and computer tools required for the practical applications of the electromagnetic concepts covered in EN.615.642 to daily-life engineering problems. It covers the methods of calculating electromagnetic scattering from complex air and sea targets (aircraft, missiles, ships, etc.), taking into account the effects of the intervening atmosphere and natural surfaces such as the sea surface and terrain. These methods have direct applications in the areas of radar imaging, communications, and remote sensing. Methods for modeling and calculating long-distance propagation over terrain and in urban areas, which find application in the areas of radar imaging, radio and TV broadcasting, and cellular communications, are also discussed. The numerical toolkit built in this course includes the method of moments, the finite difference frequency and time domain methods, the finite element method, marching numerical methods, iterative methods, and the shooting and bouncing ray method. Prerequisite(s): Knowledge of vector analysis, partial differential equations, Fourier analysis, basic electromagnetics, and a scientific computer language.</t>
  </si>
  <si>
    <t>EN.615.763</t>
  </si>
  <si>
    <t>Infrared Sensors: Physics and Applications</t>
  </si>
  <si>
    <t>In this course the physics behind the operation of modern infrared (IR) detectors and sensors systems will be elucidated. This will include not only the physics and technology behind the detectors themselves but also the associated technologies such as optics, coolers and readout integrated circuits (ROICs). The course will begin with a history of the development of IR detectors. Next basic concepts needed to describe the performance of the detectors and sensor systems will be described and finally there will be examples of applications to modern IR sensor systems used in the ground, airborne and space domains.</t>
  </si>
  <si>
    <t>EN.615.765</t>
  </si>
  <si>
    <t>Chaos and Its Applications</t>
  </si>
  <si>
    <t>The course will introduce students to the basic concepts of nonlinear physics, dynamical system theory, and chaos. These concepts will be studied by examining the behavior of fundamental model systems that are modeled by ordinary differential equations and, sometimes, discrete maps. Examples will be drawn from physics, chemistry, and engineering. Some mathematical theory is necessary to develop the material. Practice through concrete examples will help to develop the geometric intuition necessary for work on nonlinear systems. Students conduct numerical experiments using provided software, which allows for interactive learning. Prerequisite(s): Mathematics through ordinary differential equations. Familiarity with MATLAB is helpful. Consult instructor for more information.</t>
  </si>
  <si>
    <t>EN.615.769</t>
  </si>
  <si>
    <t>Physics of Remote Sensing</t>
  </si>
  <si>
    <t>This course exposes the student to the physical principles underlying satellite observations of Earth by optical, infrared, and microwave sensors, as well as techniques for extracting geophysical information from remote sensor observations. Topics will include spacecraft orbit considerations, fundamental concepts of radiometry, electromagnetic wave interactions with land and ocean surfaces and Earth’s atmosphere, radiative transfer and atmospheric effects, and overviews of some important satellite sensors and observations. Examples from selected sensors will be used to illustrate the information extraction process and applications of the data for environmental monitoring, oceanography, meteorology, and climate studies.</t>
  </si>
  <si>
    <t>EN.615.772</t>
  </si>
  <si>
    <t>Cosmology</t>
  </si>
  <si>
    <t>This course begins with a brief review of tensor calculus and principles of the General theory of relativity, the Freidmann equation and the Robertson-Walker metric. Cosmological models including radiation, matter, and the cosmological constant and their properties are discussed. Observational parameters, the role of dark matter, and the cosmic microwave background, and nucleosynthesis in the early universe are studied. The flatness and the horizon problems are introduced and the role of inflation in the early universe is discussed. Finally, we discuss the origins and the role of density fluctuations in formation of large structures leading to the current Cosmological constant Cold Dark Matter model of the universe.</t>
  </si>
  <si>
    <t>EN.615.775</t>
  </si>
  <si>
    <t>Physics of Climate</t>
  </si>
  <si>
    <t>To understand the forces that cause global climate variability, we must understand the natural forces that drive our weather and our oceans. This course covers the fundamental science underlying the nature of the Earth’s atmosphere and its ocean. This includes development of the basic equations for the atmosphere and ocean, the global radiation balance, description of oceanic and atmospheric processes, and their interactions and variability. Also included will be a description of observational systems used for climate studies and monitoring, fundamentals underlying global circulation, and climate prediction models. Prerequisite(s): Undergraduate degree in physics or engineering or equivalent, with strong background in mathematics through the calculus level.</t>
  </si>
  <si>
    <t>EN.615.776</t>
  </si>
  <si>
    <t>Quantum Algorithms: Near Term Applications</t>
  </si>
  <si>
    <t>This course will dive into NISQ algorithms and their implementation on currently available quantum processors. It will begin with an overview of quantum circuits and the IBM Qiskit API, a popular tool for constructing, simulating, and experimentally executing quantum circuits. After briefly discussing the current limitations of NISQ devices, we will begin exploring NISQ era quantum algorithms. First, we will discuss variational quantum algorithms, a hybrid quantum-classical approach ubiquitously used in modern quantum computing. We will cover applications for solving classical optimization problems on quantum hardware and finding ground states of molecular systems. Finally, we will focus on the use of quantum processors for the simulation of time dynamics of quantum systems.</t>
  </si>
  <si>
    <t>EN.615.778</t>
  </si>
  <si>
    <t>Optical System Design and Modelling</t>
  </si>
  <si>
    <t>In this course, students learn to design optical systems and model their performance. Students will use commercially available optical design software to complete their assignments and their design project. We will begin with simple lenses for familiarization with optical design software using CODE V, and then move onto more complicated multi-element lenses and reflective systems. For their design project, students may use any software of their choosing (e.g. OSLO, ZEMAX, OpTalix, SYNOPSYS, their own, etc.). Emphasis is placed on understanding the optical concepts involved in the designs while developing the ability to use design software to properly model optical systems. Upon completion of the course, students are capable of independently pursuing their own optical designs and building optical models of existing systems.</t>
  </si>
  <si>
    <t>EN.615.780</t>
  </si>
  <si>
    <t>Optical Detectors &amp; Applications</t>
  </si>
  <si>
    <t>This course examines the physics of detection of incoherent electromagnetic radiation from the infrared to the soft X-ray regions. Brief descriptions of the fundamental mechanisms of device operation are given. A variety of illumination sources are considered to clarify detection requirements, with emphasis on solar illumination in the visible and blackbody emission in the infrared. Practical devices, elementary detection circuits, and practical operational constraints are described. An introduction to solid-state and semiconductor physics follows and is then applied to the photodiode, and later to CCD and CMOS devices. A description and analysis of the electronics associated with photodiodes and their associated noise is given. Description of scanning formats leads into the description of spatially resolving systems (e.g., staring arrays). Emphasis is placed on Charged-Coupled Device and CMOS detector arrays. This naturally leads into the discussion of more complex IR detectors and Readout Integrated Circuits that are based on the CMOS pixel. In addition, descriptions of non-spatially resolving detectors based on photoemission and photo-excitation are provided, including background physics, noise, and sensitivity. Selection of optimum detectors and integration into complete system designs are discussed. Applications in space-based and terrestrial remote sensing are discussed, from simple radiometry and imaging to spectrometry. Prerequisite(s): Undergraduate degree in physics or engineering, preferably with studies in elementary circuit theory, solid-state physics, and optics. Students are expected to be proficient using spreadsheets and/or a programming language such as MATLAB or IDL.</t>
  </si>
  <si>
    <t>EN.615.781</t>
  </si>
  <si>
    <t>Quantum Information Processing</t>
  </si>
  <si>
    <t>This course provides an introduction to the rapidly developing field of quantum information processing. In addition to covering fundamental concepts such as two-state systems, measurements uncertainty, quantum entanglement, and nonlocality, the course will emphasize specific quantum information protocols. Several applications of this technology will be explored, including cryptography, teleportation, dense coding, computing, and error correction. The quantum mechanics of polarized light will be used to provide a physical context to the discussion. Current research on implementations of these ideas will also be discussed.</t>
  </si>
  <si>
    <t>EN.615.782</t>
  </si>
  <si>
    <t>Optics and Matlab</t>
  </si>
  <si>
    <t>This course provides hands-on experience with MATLAB by performing weekly computer exercises revolving around optics. Each module explores a new topic in optics, while simultaneously providing experience in MATLAB. The goal is to bridge the gap between theoretical concepts and real-world applications. Topics include an introduction to MATLAB, review of electromagnetism, ray tracing, 1D Fourier theory and propagation in optical fibers, laser beam propagation, paraxial wave propagation in turbulent media, diffraction and holography, polarization and interferometry, optical waveguides and laser theory and related technologies. Students are expected to complete a semester project that will facilitate investigation of a topic of interest not specifically covered in the course. Course Note(s): No prior experience with MATLAB is required. While a background in optics is helpful, it is not required.</t>
  </si>
  <si>
    <t>EN.615.784</t>
  </si>
  <si>
    <t>Superconducting Devices: Physics and Applications</t>
  </si>
  <si>
    <t>This course will cover the basics of superconductivity and its applications in quantum computing. We will discuss the physics of Josephson junctions and how they are used to build quantum bits (qubits). We will then study two currently popular superconducting qubits: the transmon and the fluxonium. We will also look at superconducting amplifiers, including Travelling Wave Parametric Amplifiers (TWPAs). Lastly, we will explore how these devices, including magnetometers, may be used for quantum sensing.</t>
  </si>
  <si>
    <t>EN.615.786</t>
  </si>
  <si>
    <t>Introduction to Open Quantum Systems</t>
  </si>
  <si>
    <t>This course introduces open quantum systems—quantum systems that interact with their environment, leading to decoherence and entanglement loss. The course covers the main equations governing non-unitary dynamics, with emphasis on the Lindblad master equation, and explores how different noise environments are modeled in experimental settings. Students will learn key formalisms such as density matrices, quantum operations, and measurement theory, In addition, students will dive into the relevant cQED framework, which forms the basis of control and measurement in state-of-the-art architectures such as superconducting qubits.</t>
  </si>
  <si>
    <t>artificial_intelligence</t>
  </si>
  <si>
    <t>EN.705.601</t>
  </si>
  <si>
    <t>Applied Machine Learning</t>
  </si>
  <si>
    <t>Machine Learning (ML) is the art of solving a computation problem using a computer without an explicit program. ML is now so pervasive that various ML applications such as image recognition, stock trading, email spam detection, product recommendation, medical diagnosis, predictive maintenance, cybersecurity, etc. are constantly used by organizations around us, sometimes without our awareness.In this course, we will rigorously apply machine learning techniques to real-world data to solve real-world problems. We will briefly study the underlying principles of diverse machine learning approaches such as anomaly detection, ensemble learning, deep learning with a neural network, etc. The main focus will be applying tool libraries from the Python-based Anaconda and Java-based Weka data science platforms to datasets from online resources such as Kaggle, UCI KDD, open source repositories, etc. We will also use Jupyter notebooks to present and demonstrate several machine learning pipelines.</t>
  </si>
  <si>
    <t>EN.705.603</t>
  </si>
  <si>
    <t>Creating AI-Enabled Systems</t>
  </si>
  <si>
    <t>Achieving the full capability of AI requires a system perspective, extending beyond the models, to effectively leverage algorithms, data, and computing power. Creating AI-enabled systems includes thoughtful consideration of an operational decomposition for AI solutions, engineering data for algorithm development, and deployment strategies. The objective of this course is to bring a system perspective to creating AI-enabled systems. The course will explore the full-lifecycle of creating AI-enabled systems starting with problem decomposition and addressing data, development, design, diagnostic, and deployment phases. Each module will either introduce a domain in Machine Learning (Tabular, Computer Vision, Natural Language Processing, and Physical Systems) or delve into the end-to-end development of a specific AI system. Students will be exposed to the common technologies and resources practitioners use to develop these systems.</t>
  </si>
  <si>
    <t>EN.705.604</t>
  </si>
  <si>
    <t>Production AI – Engineered AI Solutions</t>
  </si>
  <si>
    <t>This course goes beyond theory, offering hands-on experience in building AI systems with the mindset and pace of a modern AI startup. Using a project-driven approach, students learn to architect, develop, and deploy real-world AI solutions entirely in the cloud, leveraging tools like Microsoft Azure, Terraform, and other cutting-edge technologies central to today’s AI ecosystems. Students will incrementally build a production-grade, cloud-deployed AI system—individually and in teams—mirroring the end-to-end process of launching an AI startup. The course emphasizes not just tools, but the engineering mindset needed for building scalable, adaptable, and reliable AI systems. Key focus areas include: 1.) Data and Model Optimization – Streamlining data pipelines, adapting existing models, and using ensembles for efficiency and performance. 2.) System Integration – Developing distributed systems with messaging, NoSQL persistence, and robust monitoring. 3.) Cloud Deployment – Live updating through containerization and orchestration in a 100% cloud-based environment. By the end of the course, students will have built a portfolio-ready AI product and gained a deep, practical foundation in modern AI engineering for production.</t>
  </si>
  <si>
    <t>EN.705.605</t>
  </si>
  <si>
    <t>Introduction to Generative AI</t>
  </si>
  <si>
    <t>This introductory course on generative artificial intelligence (AI) provides a comprehensive overview of the foundational principles and techniques that empower machines to produce complex outputs, including text, images, video, and music. Students will examine the history and evolution of generative AI, tracing key milestones and landmark models that have shaped the field. The course begins with classical approaches—such as expert systems, genetic algorithms, Markov models, and constraint satisfaction problems—before advancing to modern generative techniques, including neural networks, autoencoders, generative adversarial networks (GANs), diffusion models, and Transformers. In addition to core models, students will be introduced to advanced topics such as prompt engineering, retrieval-augmented generation (RAG), and generative agents—autonomous AI systems capable of decision-making and goal-oriented behavior in dynamic environments. Ethical considerations and the societal impacts of generative AI, including concerns around bias, fairness, misinformation, and privacy, will be woven throughout the curriculum to foster responsible innovation. Assessment will include both research and project-based work, with students expected to design and implement a generative AI application from concept to deployment. By the end of the course, students will have a strong foundational understanding of generative AI and practical skills to creatively and ethically apply these technologies across diverse domains.</t>
  </si>
  <si>
    <t>EN.705.606</t>
  </si>
  <si>
    <t>Product Management for AI</t>
  </si>
  <si>
    <t>This course provides a comprehensive overview of the principles and best practices for successful AI product management in real-world scenarios. Students will explore the end-to-end lifecycle of AI models, from problem identification through deployment, monitoring, maintenance, and continuous improvement. We will examine applications and constraints in government, healthcare, finance, and other industries. Topics include scoping, scalability, data availability, ethical considerations, and compliance requirements. We will also discuss bias, fairness, and unintended consequences of AI systems. Through case studies and hands-on team projects, students will learn how to identify potential AI solutions, manage risks, and ensure the positive impact of their AI products. Students will prepare product documentation suitable for use in the industry. By the end of the course, students will have developed a product pitch, a minimum viable product definition, and a risk assessment, preparing them to lead AI-driven innovation in their organizations.Prerequisites: Basic knowledge of machine learning, software engineering, or cloud computing is recommended.</t>
  </si>
  <si>
    <t>EN.705.608</t>
  </si>
  <si>
    <t>Applied Generative AI</t>
  </si>
  <si>
    <t>This course provides a comprehensive exploration of generative artificial intelligence (AI) and its practical applications in solving complex business challenges. This course combines theoretical instruction with hands-on experience, equipping participants with the skills to design, develop, and deploy Generative AI-driven solutions. Topics include prompt engineering, natural language processing (NLP), generative AI workflows, fine-tuning large language models (LLMs), agentic AI development, secure AI practices, and the evaluation of AI solutions. Participants will also gain insight into ethical AI practices to ensure responsible and fair use of this technology. The curriculum includes two hands-on projects and analysis of real-world case studies.This program is designed for technology professionals, data analysts, engineers, consultants, technical managers, and STEM graduates seeking to enhance their expertise in generative AI. A foundational understanding of programming and data analysis is recommended. Participants will develop proficiency in using tools such as Python, VS Code, and various libraries. They will also learn techniques for retrieval-augmented generation (RAG), quick fine-tuning with vector databases, and use of open-source LLMs for proprietary applications. This course prepares graduates to apply generative AI to a wide range of applications, develop and train generative models, apply these techniques to create content, evaluate ethical implications, and analyze the impact of AI on various industries and society.</t>
  </si>
  <si>
    <t>EN.705.612</t>
  </si>
  <si>
    <t>Values and Ethics in Artificial Intelligence</t>
  </si>
  <si>
    <t>Modern artificial intelligence, and the related area of autonomous systems are becoming so powerful that they raise new ethical issues. This course will prepare professional engineers and developers to thoughtfully engage with the moral, ethical, and cultural aspect of these emerging technology. Topics include: safety considerations for autonomous vehicles, algorithm bias, AI explainability, data privacy, ethical considerations of 'deep fakes', ethics of artificial life, values advocacy within organizations, technological unemployment, and far-future considerations related to AI safety.</t>
  </si>
  <si>
    <t>EN.705.613</t>
  </si>
  <si>
    <t>Responsible AI</t>
  </si>
  <si>
    <t>This course explores the ethical, societal, and policy implications of artificial intelligence (AI) technologies, providing students with a comprehensive understanding of the responsibilities that come with their development and deployment. Through case studies, real-world examples, and critical discussions, students will examine issues related to fairness, transparency, privacy, accountability, and bias in AI systems. The course also delves into the regulatory landscape surrounding AI, exploring frameworks for responsible innovation and the governance structures needed to ensure AI aligns with human values. By the end of the course, students will be equipped with the tools to assess AI systems from an ethical standpoint, design responsible AI solutions, and contribute to the ongoing dialogue around the future of AI and its impact on society.</t>
  </si>
  <si>
    <t>EN.705.614</t>
  </si>
  <si>
    <t>AI and Human Relationships</t>
  </si>
  <si>
    <t>This course examines how artificial intelligence is reshaping human relationships in areas that have traditionally relied on human presence—such as companionship, teaching, therapy, management, and collaboration. Students will explore when AI enhances human connection and when it substitutes for or undermines it. Topics include AI companions and the “loneliness economy,” mental health apps and therapeutic chatbots, educational AI and the nature of effective teaching, and AI in workplace relationships, including algorithmic management, performance monitoring, and HR systems. The course also considers emerging technologies such as prediction markets that turn everyday human events into tradable assets. Throughout, students will analyze the ethical, social, and design implications of AI in relational settings. The course draws on interdisciplinary perspectives from ethics, philosophy, labor studies, and science and technology studies. Engineering and computer science students will gain tools for understanding the human contexts their technologies enter and for evaluating how design choices shape whether AI supports or exploits users. Students interested in AI leadership will develop frameworks for assessing technologies used in areas such as employee wellness, coaching, customer service, and education, with attention to both their benefits and potential risks.</t>
  </si>
  <si>
    <t>EN.705.615</t>
  </si>
  <si>
    <t>Artificial Intelligence for Leaders</t>
  </si>
  <si>
    <t>This course is designed for leaders tasked with spearheading artificial intelligence (AI) efforts within their organizations. As AI technologies such as machine learning, deep learning, symbolic AI and generative AI reshape the landscape of industry and governance, understanding how to effectively integrate these tools into business strategies becomes paramount. This course offers an in-depth exploration of the critical components of AI, including data acquisition and analysis, algorithm development, the deployment of resources, labor considerations and the management of at-scale AI projects. Participants will gain a robust understanding of the foundational and advanced concepts of AI, including the workings of machine learning models, the revolutionary capabilities of transformers and large language models (LLMs), the innovative potential of generative AI, and risk mitigation with symbolic AI. The curriculum emphasizes not only the technical aspects but also the management and ethical considerations, such as bias mitigation and the development of responsible AI frameworks, ensuring leaders can make informed, ethical decisions in deploying AI technologies.</t>
  </si>
  <si>
    <t>EN.705.617</t>
  </si>
  <si>
    <t>Artificial Intelligence in Healthcare</t>
  </si>
  <si>
    <t>This course equips students with the applied knowledge and engineering mindset needed to design and deploy AI solutions in complex healthcare environments. Structured around real-world healthcare workflows, students will explore how artificial intelligence can be integrated to enhance clinical decision-making, improve operational efficiency, and support patient outcomes. Through hands-on projects, learners engage with tools and techniques used in modern healthcare AI systems, from predictive modeling and clinical decision support to robotic process automation and the responsible use of large language models. Students begin by developing a foundational understanding of AI technologies within the healthcare lifecycle, including regulatory and ethical frameworks. They then build and evaluate AI models that augment clinical reasoning, such as risk scoring and diagnostic support. The course also explores the application of generative AI to medical documentation and patient communication and culminates in the implementation of robotic and process automation tools to streamline healthcare workflows. Throughout the course, students will iteratively develop a portfolio-ready healthcare AI solution, working both individually and in teams. By the end, they will have a deep, practical understanding of how to translate AI capabilities into impactful, ethical, and integrated applications within the healthcare system.</t>
  </si>
  <si>
    <t>EN.705.618</t>
  </si>
  <si>
    <t>Neuromarketing AI</t>
  </si>
  <si>
    <t>In today’s rapidly evolving marketplace, the key to effective leadership is understanding the intersection of science, technology, and consumer behavior. Neuromarketing AI: The Future of Persuasion and Consumer Insights, is a pioneering course designed specifically for leaders who seek to harness the latest advancements in neuroscience and artificial intelligence to transform their marketing strategies and decision-making processes. This course merges groundbreaking brain science with AI-driven techniques, giving participants a unique opportunity to master the science of persuasion and its real-world applications. Participants will explore how the human brain processes decisions, learn how to apply neuromarketing principles, and leverage AI to predict consumer behavior and personalize messaging at scale. With a curriculum built on the renowned Persuasion Code model, this program will empower participants to revolutionize how they communicate with customers, employees, and stakeholders.</t>
  </si>
  <si>
    <t>EN.705.621</t>
  </si>
  <si>
    <t>Introduction to Algorithms</t>
  </si>
  <si>
    <t>This course concentrates on the design of algorithms and the rigorous analysis of their efficiency. Topics include the basic definitions of algorithmic complexity (worst case, average case); basic tools such as dynamic programming, sorting, searching, and selection; advanced data structures and their applications (such as union-find); graph algorithms and searching techniques such as minimum spanning trees, depth-first search, shortest paths, design of online algorithms and competitive analysis.</t>
  </si>
  <si>
    <t>EN.705.623</t>
  </si>
  <si>
    <t>AI Algorithm Design and Analysis</t>
  </si>
  <si>
    <t>This course provides an in-depth exploration of the design, analysis, and optimization of algorithms critical to artificial intelligence. Building on foundational algorithmic techniques such as dynamic programming, graph theory, and heuristic search, the course extends into applications across machine learning, natural language processing, computer vision, and generative AI. Topics include computational complexity, probabilistic reasoning, optimization methods, and trade-offs in algorithm performance. Students will gain theoretical and practical insights essential for solving real-world AI problems, including designing hybrid AI systems that integrate reasoning, optimization, and pattern recognition.</t>
  </si>
  <si>
    <t>EN.705.625</t>
  </si>
  <si>
    <t>Introduction to Agentic AI</t>
  </si>
  <si>
    <t>In this course, we will dive into what it truly means to build agentic AI—systems that perceive their environment, make decisions, learn from experience, and act autonomously. We begin by exploring the core principles of intelligent agency and how these systems interact with the world around them. From there, we will examine foundational models and techniques for crafting intelligent behavior, including decision trees, utility theory, Markov decision processes, and game theory. As the course progresses, you will design both standalone agents and complex multi-agent systems, learning how they make decisions, communicate, collaborate, and compete. We will also explore the human side of AI—how to build trust, ensure explainability, and design intuitive interfaces for effective human-AI collaboration. In the final phase, we investigate the frontier of AI: generative agents powered by large language and vision models. These advanced systems do not merely react—they reflect, plan, and interact in ways that resemble human cognition. You will gain hands-on experience building and evaluating these agents using state-of-the-art frameworks. By the end of the course, you will be equipped to model, build, and evaluate intelligent agents for both simulated and real-world environments, with a solid grounding in both theory and practice.</t>
  </si>
  <si>
    <t>EN.705.640</t>
  </si>
  <si>
    <t>Cognitive and Behavioral Foundations for Artificial Intelligence</t>
  </si>
  <si>
    <t>As a result of greater computing power and Big Data, artificial intelligence (AI) is rapidlyimproving for well-defined tasks and narrow intelligence. Moreover, it has entered all industriesin a myriad of ways. But will AI ever have human-like general intelligence? What does humanlikegeneral intelligence even mean? Why should we even care? This course is designed toanswer these complex questions by giving students working knowledge of the underlyingprinciples and mechanisms of human behavior and cognition, and how they may be applied tosolving current and rising industry challenges. Key topics to be addressed will include vision,audition, language, learning, emotion and social cognition, creativity, and consciousness. Students will apply learned topics to a final group research project on the topic of their choice.</t>
  </si>
  <si>
    <t>EN.705.641</t>
  </si>
  <si>
    <t>Natural Language Processing: Self-Supervised Models</t>
  </si>
  <si>
    <t>In recent times, Large Language Models (LLMs) have earned the attention of the world. OpenAI’s infamous generative LLM, ChatGPT, became the fastest-growing consumer application in history in only two months–and the feverish interest around LLMs continues to grow. Large self-supervised (pre-trained) models (such as LLMs) have transformed various data-driven fields, such as natural language processing (NLP). In this course, students will gain a thorough introduction to self-supervised learning techniques for NLP applications. Through lectures, assignments, and a final project, students will learn the necessary skills to design, implement, and analyze their own self-supervised neural network models using the PyTorch framework.</t>
  </si>
  <si>
    <t>EN.705.643</t>
  </si>
  <si>
    <t>Deep Learning Developments with PyTorch</t>
  </si>
  <si>
    <t>PyTorch is a machine learning framework based on the Torch library. Its flexibility and user-friendliness have accumulated a massive user base in both industry and academia. Most modern research code is written in PyTorch. In this course, we will provide a step-by-step comprehensive coverage of modern applications in PyTorch. The course topics can be broadly categorized into three popular applications: computer vision, natural language processing, and reinforcement learning. We will study the experimental details of using PyTorch for a wide variety of tasks such as image/video classification, object detection, semantic segmentation, text classification, sequence-to-sequence translation, visual question answering, and DQN. In terms of modern deep learning architectures, we will cover 2D/3D convolutional neural networks, recurrent neural networks, long-short term memory, transformers, and encoder-decoder networks. Students will be technically prepared for more advanced courses in different application after taking this course.</t>
  </si>
  <si>
    <t>EN.705.651</t>
  </si>
  <si>
    <t>Large Language Models: Theory and Practice</t>
  </si>
  <si>
    <t>An apparently new breed of neural network -- the large language model (LLM) -- figures increasingly in today's news: ChatpGPT and Microsoft's new chatbot-like Bing Chat interface seem to garner headlines on the daily. This course constitutes a thorough introduction to this technology, tracing the historical threads in computational linguistics and language modeling that led to it, and exploring the design patterns that underpin its application in modern AI systems. In between, students will learn about language modeling, the attention mechanism, prompt and instruction tuning, composability, quantization, low-rank adaptation, and the wealth of software and hardware optimizations that enable LLMs to be used at scale and with acceptable latencies.</t>
  </si>
  <si>
    <t>EN.705.704</t>
  </si>
  <si>
    <t>Rapid AI Systems: From Prototype to Production</t>
  </si>
  <si>
    <t>This advanced, project-driven course prepares students to become production-ready AI engineers by focusing on the real-world challenges of designing, building, and deploying end-to-end AI systems at startup speed. Rather than emphasizing theory or isolated tools, the course develops an engineering mindset centered on system architecture, practical decision-making, and cloud-native development practices. Students work both independently and collaboratively to architect, implement, and deploy a complete, portfolio-ready AI system in the cloud, using current, state-of-the-art technologies. Key topics include the design of optimized data pipelines for handling real-world datasets; the adaptation and integration of pre-trained machine learning models into scalable, high-performance ensembles; and the development of elastic, stateless system architectures leveraging message queuing, NoSQL databases, and managed cloud services. The course also covers modern deployment practices, including containerization, orchestration, and continuous integration/continuous deployment (CI/CD), along with production monitoring strategies to ensure observability, reliability, and high availability. Generative AI tools are actively incorporated and encouraged throughout the development process.The course is offered in a hybrid-live format. Attendance is required for four hands-on, lab-focused sessions. An additional four live sessions are optional and designed to keep course content aligned with rapidly evolving industry practices; all sessions are recorded and available for later viewing.</t>
  </si>
  <si>
    <t>EN.705.714</t>
  </si>
  <si>
    <t>Artificial Intelligence in Biology - Cancer Detection &amp; Drug Development</t>
  </si>
  <si>
    <t>This advanced course develops rigorous expertise in applying state-of-the-art artificial intelligence and machine learning methodologies to high-dimensional biological and biomedical data, with a translational emphasis on cancer detection (including liquid biopsy modalities) and therapeutic discovery. Students engage in advanced computational representations of biological sequences, multi-omics data, and molecular interaction networks; design and evaluate supervised, unsupervised, and self-supervised learning frameworks; and implement deep learning architectures—including convolutional neural networks and transformer-based models—for genomics, proteomics, and structure-function prediction tasks. The course further emphasizes end-to-end ML workflows for target identification, mechanism inference, and compound prioritization, with sustained attention to reproducibility, model interpretability, uncertainty quantification, and principled decision-making in biomedical research contexts.</t>
  </si>
  <si>
    <t>EN.705.716</t>
  </si>
  <si>
    <t>AI Systems for Life Sciences</t>
  </si>
  <si>
    <t>This course explores the application of artificial intelligence to bridge scientific discovery and the engineering of practical biological and chemical solutions. The course presents a unified, end-to-end workflow in which students leverage multimodal bioinformatics and biochemical data to detect and characterize novel biological or chemical phenomena. Learners then design targeted interventions—using state-of-the-art generative and diffusion models for both protein-based therapeutics and small-molecule compounds—and investigate how synthetic biology and biomanufacturing principles enable scalable production of these designs. The curriculum emphasizes a holistic systems approach that integrates data acquisition, advanced modeling, numerical validation, and real-world deployment. Through hands-on coding, implementation, and rigorous analytical evaluation, students gain the skills to construct, interpret, and effectively communicate AI-driven solutions that are technically robust, reproducible, and directly applicable in life sciences settings.</t>
  </si>
  <si>
    <t>EN.705.741</t>
  </si>
  <si>
    <t>Reinforcement Learning</t>
  </si>
  <si>
    <t>This course will focus on both the theoretical and the practical aspects of designing, training, and testing reinforcement learning systems. The course begins with an examination of Markov decision processes (MDPs), which provide a sound mathematical basis for modeling and solving complex sequential decision problems. The more traditional analytical method for solving MDPs, dynamic programming, will be reviewed. We will then examine the major reinforcement learning approaches, such as Monte Carlo methods, temporal difference methods, policy gradient methods, and deep learning methods, comparing them as appropriate to dynamic programming techniques. Fundamental issues and limitations on the performance of reinforcement learning algorithms (e.g., the credit assignment problem, the exploration / exploitation tradeoff, on-policy learning versus off-policy learning, partial observability, and algorithm convergence properties) will be examined for each approach. Weekly exercises and discussion topics will reinforce and expand on the classroom material. In addition, students will gain practical experience during a semester-long project by programming, training, and testing various reinforcement learning algorithms.</t>
  </si>
  <si>
    <t>EN.705.742</t>
  </si>
  <si>
    <t>Advanced Applied Machine Learning</t>
  </si>
  <si>
    <t>Machine learning is a subset of artificial Intelligence to build and utilize data models based on sound analytical algorithms. Still, it takes more than just applying a set of algorithms to datasets or experiment a list of toolbox library to successfully build effective machine learning subsystems in an AI system. In this course, we will study a variety of advanced topics involving solutions and novel techniques to various machine learning problems. Starting from Machine Learning Operations, these topics include model analysis such as Recommender Systems, Hyperparameter Optimization, Transfer Learning, and Explainable AI. Moreover, we will study and implement Neural Network machine learning algorithms such as Generative Adversarial Networks, Recurrent Neural Networks, Transformers, and Graph Neural Networks. The course will keep a balance between the theoretical and mathematical specifications of an algorithm and the actual engineering of an algorithm. In addition, we will apply these methods and models, such as GPT, to a variety of real-world problems in realistic course assignments. The course will also keep a research thread with discussions about recent developments, and emerging technologies in the current literature. Students will be expected to write a research paper throughout the course.</t>
  </si>
  <si>
    <t>EN.705.743</t>
  </si>
  <si>
    <t>ChatGPT from Scratch: Building and Training Large Language Models</t>
  </si>
  <si>
    <t>Large language models (LLMs) like ChatGPT have ushered in a new wave of virtual assistants, chatbots, and text generators. Many see them as a paradigm shift in how humans interact with machines. Huge development ecosystems have arisen around LLMs, often abstracting away how they work to make them accessible to more people. While the democratization of this technology is important, LLMs cannot be fully harnessed and improved without understanding their inner workings at a fine level. In this course, students will build a small version of a text generation model like GPT3 over the course of several weeks. They will learn about the details of the GPT architecture from bottom to top, how the GPT architecture came about, and how it is used today in applications like ChatGPT. Once these fundamentals are established, students will build their own research experiment on top of their home-grown language models. Completing this course will prepare students to build and modify language models for further LLM research or novel applications.</t>
  </si>
  <si>
    <t>EN.705.744</t>
  </si>
  <si>
    <t>Deep Learning Using Transformers</t>
  </si>
  <si>
    <t>Transformer networks are a new trend in Deep Learning. In the last decade, transformer models dominated the world of natural language processing (NLP) and have become the conventional model in almost all NLP tasks. However, developments of transformers in computer vision were still lagging. In recent years, applications of transformers started to accelerate. This course will introduce the attention mechanism and the transformer networks by understanding the pros and cons of this architecture. The importance of unsupervised or semi-supervised pre-training for the transformer architectures, as well as their impact for developments of large-scale foundation model. This will pave the way to introduce transformers in computer vision. Additionally, the course aims to extend the attention idea into the 2D spatial domain for image datasets, investigate how convolution can be generalized using self-attention within the encoder-decoder meta architecture, analyze how this generic architecture is almost the same in image as in text and NLP, which makes transformers a generic function approximator, and discuss the channel and spatial attention, local vs. global attention among other topics. Furthermore, we will also study different neural architectures that are designed for several fundamental tasks in computer vision, namely, classification, object detection, semantic and instance segmentation. In particular, vision transformer, pyramid vision transformer, shifted window transformer (Swin), Detection Transformer (DETR), segmentation transformer (SETR), and many others will be explored. The course also examines the application of Transformers in video understanding with focus on action recognition and instance segmentation and will emphasize recent developments of transformers in large-scale pre-training and multimodal learning covering self-supervised learning, contrastive learning with masked image modeling, multimodal learning, and vision foundation models.</t>
  </si>
  <si>
    <t>EN.705.746</t>
  </si>
  <si>
    <t>Self-Supervised Representation and Multimodal Learning</t>
  </si>
  <si>
    <t>This course explores the foundations, methodologies and applications of self-supervised and multimodal representation learning, two of the most transformative paradigms in the advancements of modern deep learning era. We provide comprehensive coverage on how different self-supervised learning techniques leverage unlabeled data through pretext tasks, contrastive objectives, negative/positive sample designs, representation learning, and generative modeling, enabling state-of-the-art performance in various downstream tasks and applications with minimal supervision. This course also systematically explores the classic theory and methods of multimodal learning, where information from multiple data modalities - such as images, videos, texts, audio, and sensor streams - are integrated to build powerful and generalizable machine perception systems. Students will study key principles of multimodal representations, fusion strategies, and alignment methods that enable effective cross-modal reasoning, as well as pretraining paradigms, multimodal neural architecture, and the design of large-scale foundation models.</t>
  </si>
  <si>
    <t>EN.705.748</t>
  </si>
  <si>
    <t>Modern Methods for Learning-Based Autonomy</t>
  </si>
  <si>
    <t>This course explores the application of deep learning to sequential decision-making, including imitation learning, deep reinforcement learning (DRL), and agentic methods. The focus will be on the algorithmic advances over the last decade that have enabled superhuman performance in games (Atari, Go, StarCraft), have been effectively used to tune large language models (LLMs), and have been successfully applied to complex robotic and industrial control tasks. DRL (online and offline, model-free and model-based) and imitation learning (including diffusion policies and conditional flow matching) will be covered in depth, with more advanced topics (RLHF, RLVR, agentic control systems, and VLA models) also being discussed. Students will gain both theoretical knowledge of current strategies for learning-based control and hands-on experience implementing them.</t>
  </si>
  <si>
    <t>EN.705.771</t>
  </si>
  <si>
    <t>Introduction to Mechanistic Interpretability</t>
  </si>
  <si>
    <t>This course delves into Mechanistic Interpretability, a field that seeks causal explanations for how modern neural networks compute. By analyzing the outputs of neural networks as mathematical functions of their inputs, this discipline moves beyond attribution maps to reverse engineer the circuits, features, and algorithms learned by large language models. Students will gain hands-on experience with foundational methods in mechanistic interpretability, focusing on techniques for extracting features, detecting misalignment in LLMs, and reverse engineering neural circuits. The course provides a rigorous and detailed practical understanding of this critical area at the forefront of artificial intelligence. Topics covered include classical AI interpretability techniques such as decision trees, saliency maps, feature inversion, and linear probes; foundational concepts like features, QK and OV circuits, and induction heads; advanced techniques involving sparse autoencoders, induction heads, alignment strategies, and AI safety methodologies; and seminar discussions on existential risk, exploring contemporary thinkers in the realms of AI safety and long-term societal impact.</t>
  </si>
  <si>
    <t>chemical_and_biomolecular_engineering</t>
  </si>
  <si>
    <t>EN.545.602</t>
  </si>
  <si>
    <t>Metabolic Systems Biotechnology</t>
  </si>
  <si>
    <t>The aim of this course is to provide a fundamental understanding of the quantitative principles and methodologies of systems biology and biochemical engineering of metabolism. This includes concepts of cellular growth, cellular stoichiometric models, metabolic networks, metabolite fluxes, and genomescale metabolic models. Quantitative methods and systems biology approaches for metabolic flux analysis and metabolic control theory will be included as well as an analysis of biochemical systems and bioreactors including a consideration of mass transport processes.</t>
  </si>
  <si>
    <t>EN.545.603</t>
  </si>
  <si>
    <t>Colloids and Nanoparticles</t>
  </si>
  <si>
    <t>This course explains the fundamental principles related to interactions, dynamics, and structure in colloidal, nanoparticle, and interfacial systems. Concepts covered include hydrodynamics, Brownian motion, diffusion, sedimentation, electrophoresis, colloidal and surface forces, polymeric forces, aggregation, deposition, and experimental methods. Modern topics related to colloids in nanoscience and technology will be discussed throughout the course, with frequent references to recent literature.</t>
  </si>
  <si>
    <t>EN.545.604</t>
  </si>
  <si>
    <t>Transport Phenomena in Practice</t>
  </si>
  <si>
    <t>This course will provide a review of core concepts of transport phenomena (momentum, heat, and mass transfer). Chemical and biomolecular engineering problems that are relevant in the areas of medicine, biomaterials, and physiology will be discussed. Application areas will range from oxygen transport in lungs and delivery in tissues as an example of a gas–fluid interface; Fluid flow and shear stress, with blood as an example of a nonNewtonian fluid; molecular transport using cellular transport as an example; filtration and separation (membranes) using the Kidney as an example; and drug delivery and pharmacokinetics. Prerequisite(s): Previous experience with transport phenomena concepts will be helpful but is not required. Knowledge in vector calculus and differential equations is imperative for this course.</t>
  </si>
  <si>
    <t>EN.545.606</t>
  </si>
  <si>
    <t>Chemical &amp; Biomolecular Separation</t>
  </si>
  <si>
    <t>This course covers staged and continuous-contacting separations processes critical to the chemical and biochemical industries. Separations technologies studied include distillation, liquidliquid extraction, gas absorption, membrane ultrafiltration, reverse osmosis, dialysis, adsorption, and chromatography. Particular emphasis is placed on the biochemical uses of these processes and consequently on how the treatment of these processes differs from the more traditional approach. Course Note(s): Only with permission of the instructor. Colisted with 540.306.</t>
  </si>
  <si>
    <t>EN.545.607</t>
  </si>
  <si>
    <t>Renewable Energy Technologies</t>
  </si>
  <si>
    <t>EN.545.614</t>
  </si>
  <si>
    <t>Computational Protein Structure Prediction and Design</t>
  </si>
  <si>
    <t>The prediction of protein structure from the amino acid sequence has been a grand challenge for more than 50 years. With recent progress in research, it is now possible to blindly predict many protein structures and even to design new structures from scratch. This class will introduce the fundamental concepts in protein structure, biophysics, optimization, and informatics that have enabled the breakthroughs in computational structure prediction and design. Problems covered will include protein folding and docking, design of ligand-binding sites, design of turns and folds, and design of protein interfaces. Classes will consist of lectures and handson computer workshops. Students will learn to use molecular visualization tools and write programs with the PyRosetta protein structure software suite, including a computational project. Prerequisite(s): Programming experience is helpful but not required.</t>
  </si>
  <si>
    <t>EN.545.615</t>
  </si>
  <si>
    <t>Interfacial Science with Applications to Nanoscale Systems</t>
  </si>
  <si>
    <t>Nanostructured materials intrinsically possess large surface area (interface area) to volume ratios. It is this large interface area that gives rise to many of the amazing properties and technologies associated with nanotechnology. In this class, we will examine how the properties of surfaces, interfaces, and nanoscale features differ from their macroscopic behavior. We will compare and contrast fluid-fluid interfaces with solid-fluid and solid-solid interfaces, discussing fundamental interfacial physics and chemistry, as well as touching on state-of-the-art technologies.</t>
  </si>
  <si>
    <t>EN.545.619</t>
  </si>
  <si>
    <t>Project in Design: Alternative Energy</t>
  </si>
  <si>
    <t>This course is a group design project (i.e., not a lecture course). In the class, student groups research the various forms of alternative energy and then model a real-world alternativeenergy process. The goal of the project will be to develop a process model that is sufficiently complete and robust that it can be used to understand the important factor in the process design and/or operation. This design project is focused on the role of alternative energy in the US and world economies. The remainder of the course will be devoted to a technical and economic analysis of an alternative energy technology. This course is organized to replicate group project work as it is practiced in industry. The class is divided into groups (typically 3 or 4 students) and each group meets separately each week with the instructor. Hence, there are no regularly scheduled class times; student groups sign up for weekly meeting times using Starfish in Blackboard. These meetings typically will be 60 minutes long. The expectations and assignments for this course are quite different from most other courses. There are no weekly lectures by the instructor. Rather, each week each group will make a PowerPoint presentation on the week’s topic or their progress on their project. Prerequisite(s): 540.202 Introduction to Chemical &amp; Biological Process Analysis; 540.203 Engineering Thermodynamics; 540.301 Kinetic Processes; and 540.305 Modeling and Statistical Analysis of Data for Chemical and Biomolecular Engineers. Course Note(s): Graduate Level. Meets with 540.401 Projects in Design: Alternative Energy.</t>
  </si>
  <si>
    <t>EN.545.621</t>
  </si>
  <si>
    <t>Project in Design: Pharmacodynamics</t>
  </si>
  <si>
    <t>This is a design course in which the design projects will be to develop pharmacokinetic models of the human body that can be used to understand the temporal distribution, spatial distribution, and bioavailability of pharmaceutical drugs. The course (and software to be developed) will cover the spectrum of factors affecting pharmaceutical bioavailability including drug formulation, mode of dosing and dosing rate, metabolism and metabolic cascades, storage in fatty tissues, and diffusional limitations (such as in crossing the blood-brain barrier or diffusional differences between normal and cancerous cells). The goal is to develop process models of the human body that will predict pharmaceutical bioavailability as a function of time and organ (or cell) type and that will work for a wide variety of pharmaceuticals including small molecules, biologics, and chemotherapy agents. This course is organized to replicate group project work as it is practiced in industry. The class is divided into groups (typically 3 or 4 students) and each group will meet separately each week with the instructor. Hence, there are no regularly scheduled class times; student groups sign up for weekly meeting times using Starfish in Blackboard. These meetings typically will be 90 minutes long. The expectations and assignments for this course are quite different from most other courses. There are no weekly lectures by the instructor. Rather, each week each group will make a PowerPoint presentation on the week’s topic or their progress on their project.</t>
  </si>
  <si>
    <t>EN.545.622</t>
  </si>
  <si>
    <t>Introduction to Polymeric Materials</t>
  </si>
  <si>
    <t>Polymeric materials are ubiquitous in our society, from naturemade proteins and polysaccharides to synthetic plastics and fibers. Their applications range from day-to-day consumables to high-performance materials used in critically demanding areas, such as aviation, aerospace, and medical devices. The objective of this course is to provide an introductory overview on the field of polymer science and engineering. Students will learn some basic concepts in polymer synthesis, characterization, and processing. With the basic concepts established, industrial applications of polymeric materials will be discussed in two categories: structural polymers and functional polymers. Structural polymers, including plastics, fibers, rubbers, coatings, adhesives, and composites, will be discussed in terms of their structure, processing, and property relationship with a flavor of industrial relevant products and applications. Future trends in developing environmentally friendly polymers from renewable resources (green polymer chemistry) will also be covered. Lectures on functional polymers will focus on their unique properties that are enabled by rational molecular design, controlled synthesis, and processing (e.g., supramolecular assembly and microfabrication). This class of specialty materials can find their use in high-performance photovoltaics, batteries, membranes, and composites and can also serve as smart materials for use in coatings, sensors, medical devices, and biomimicry.</t>
  </si>
  <si>
    <t>EN.545.626</t>
  </si>
  <si>
    <t>Fundamentals of Cell Bioengineering</t>
  </si>
  <si>
    <t>This course focuses on the application of engineering fundamentals along with concepts and techniques from molecular cell biology and biophysics to understand normal physiology and pathological disorders. Class lectures will include an overview of molecular cell biology principles and engineering approaches to cell biology, an extensive discussion on extracellular matrix, cell cytoskeleton and basics of adhesion molecules, followed by topics on cell-cell and cell-matrix interactions from both experimental and theoretical perspectives. Lectures will also cover the effects of physical (e.g. fluid shear stress, confinement), chemical (e.g. growth factors) and electrical cues on cell function, emphasizing topics on gene regulation and signal transduction processes. Moreover, topics in cancer metastasis and current therapeutic strategies will be discussed.</t>
  </si>
  <si>
    <t>EN.545.628</t>
  </si>
  <si>
    <t>Supramolecular Materials and Nanomedicine</t>
  </si>
  <si>
    <t>Nanomedicine is a quickly growing area that exploits the novel chemical, physical, and biological properties of nanostructures and nanostructured materials for medical treatments. This course presents basic design principles of constructing nanomaterials for use in drug delivery, disease diagnosis and imaging, and tissue engineering. Three major topics will be discussed, including (1) nanocarriers for drug delivery that are formed through soft matter assembly (e.g., surfactants, lipids, block copolymers, DNA, polyelectrolytes, peptides); 2) inorganic nanostructures for disease diagnosis and imaging (e.g., nanoparticles of gold and silver, quantum dots and carbon nanotubes); and (3) supramolecular scaffolds for tissue engineering and regenerative medicine. Students are expected to learn the physical, chemical and biological properties of each nanomaterial, the underlying physics and chemistry of fabricating such material, as well as their advantages and potential issues when used for biomedical applications. This course will also provide students opportunities for case studies on commercialized nanomedicine products. After this class, students should have a deeper understanding of current challenges in translating nanoscience and nanotechnology into medical therapies.</t>
  </si>
  <si>
    <t>EN.545.630</t>
  </si>
  <si>
    <t>Thermodynamics and Statistical Mechanics</t>
  </si>
  <si>
    <t>In this course we will aim for understanding the thermodynamics of chemical and biomolecular systems. We will first review classical, macroscopic thermodynamics, covering concepts such as equilibrium, stability, and the role of thermodynamic potentials. Our goal will be to gain a feel for the generality of thermodynamics. Statistical mechanics provides a link between the mechanics of atoms and macroscopic thermodynamics. We will introduce this branch in two distinct ways: (1) following standard methods of developing concepts such as ensembles and partition functions, and (2) where we will treat the basis of statistical mechanics as a problem in inference. With this foundation, we will consider concepts relevant to understanding the liquid state. Chemical transformations in a liquid are of importance in much of chemistry and biology; quasi-chemical generalizations of the potential distribution theorem will be introduced to present these ideas. We hope to give an overview of modern developments relating equilibrium work to non-equilibrium work, as these are of increasing importance in studies on single molecule systems. Registration by instructor permission only.</t>
  </si>
  <si>
    <t>EN.545.632</t>
  </si>
  <si>
    <t>Project in Design: Pharmacokinetics</t>
  </si>
  <si>
    <t>This is a design course in which the design projects will be to develop pharmacokinetic models of the human body that can be used to understand the temporal distribution, spatial distribution and bioavailability of pharmaceutical drugs. The course (and software to be developed) will cover the spectrum of factors affecting pharmaceutical bioavailability including drug formulation, mode of dosing and dosing rate, metabolism and metabolic cascades, storage in fatty tissues, and diffusional limitations (such as in crossing the blood-brain barrier or diffusional differences between normal and cancerous cells). The goal is to develop process models of the human body that will predict pharmaceutical bioavailability as a function of time and organ (or cell) type that will work for a wide variety of pharmaceuticals including small molecules, biologics, and chemotherapy agents. This course is organized to replicate group project work as it is practiced in industry. The class is divided into groups (typically 3 or 4 students) and each group will meet separately each week with the instructor. Hence, there is no regularly scheduled class times; student groups sign up for weekly meeting times using Starfish in Blackboard. These meetings typically will be 90 minutes long. The expectations and assignments for this course are quite different from most other courses. There are no weekly lectures by the instructor. Rather, each week each group will make a PowerPoint presentation on the week's topic or their progress on their project.</t>
  </si>
  <si>
    <t>EN.545.635</t>
  </si>
  <si>
    <t>Software Carpentry</t>
  </si>
  <si>
    <t>EN.545.637</t>
  </si>
  <si>
    <t>Application of Molecular Evolution to Biotechnology</t>
  </si>
  <si>
    <t>One of the most promising strategies for successfully designing complex biomolecular functions is to exploit nature’s principles of evolution. This course provides an overview of the basics of molecular evolution as well as its experimental implementation. Current research problems in evolution-based biomolecular engineering will be used to illustrate principles in the design of biomolecules (i.e., protein engineering, RNA/DNA engineering), genetic circuits, and complex biological systems including cells.</t>
  </si>
  <si>
    <t>EN.545.639</t>
  </si>
  <si>
    <t>Advanced Topics in Pharmacokinetics and Pharmacodynamics</t>
  </si>
  <si>
    <t>This course involves a semester-long project in pharmacodynamics. Topics are chosen in consultation with instructor.</t>
  </si>
  <si>
    <t>EN.545.640</t>
  </si>
  <si>
    <t>Micro- and Nanotechnology</t>
  </si>
  <si>
    <t>The field of micro-/nanotechnology has been gaining tremendous momentum, as evidenced by an explosive rise in the number of publications, patents, and commercial activities. This is an introductory course intended to expose students to the field and real-world applications. Lectures will include an overview of scaling of material properties at the nanoscale, micro- and nanofabrication methods, and essential analytical tools of relevance to the field. All through the course, we will go over electronic, optical, and biological applications of emerging micro- and nanoscale devices and materials.</t>
  </si>
  <si>
    <t>EN.545.652</t>
  </si>
  <si>
    <t>Advanced Transport Phenomena</t>
  </si>
  <si>
    <t>This lecture course introduces students to the application of engineering fundamentals from transport and kinetic processes to vascular biology and medicine. The first half of the course addresses the derivation of the governing equations for Newtonian fluids and their solution in the creeping flow limit. The second half of the course considers how these concepts can be used to understand the behavior of a deformable cell near planar surfaces. Prerequisite(s): Undergraduate Transport Phenomena preferred.</t>
  </si>
  <si>
    <t>EN.545.660</t>
  </si>
  <si>
    <t>Polymer Physics</t>
  </si>
  <si>
    <t>This course will cover the physics aspect of macromolecular/ polymeric materials. We will discuss the molecular origin of key physical phenomena, such as chain relaxation, time temperature superposition, free volume, high-strain-rate behavior, phase transitions, flow and fracture, as well as physical aging. Many real-world examples will be used throughout the course. We will also discuss the recent advances in biopolymers, polymers for 3D printing, electro-spinning, and polymers for tissue engineering. Students should have introductory training in materials science.</t>
  </si>
  <si>
    <t>EN.545.662</t>
  </si>
  <si>
    <t>Polymer Design and Bioconjugation</t>
  </si>
  <si>
    <t>This course will focus on conventional to most recent inventions on polymer and conjugation chemistry. Weekly lectures will include the reaction strategy, designs and characterization techniques, structure–property relationship, simplistic approaches, and versatile application-oriented solutions to biomaterials and tissue engineering-related challenges. Students will learn how to devise creative strategies and about process design and product development. Prerequisite(s): Preliminary knowledge of organic chemistry is expected. No prerequisites for graduate students.</t>
  </si>
  <si>
    <t>EN.545.665</t>
  </si>
  <si>
    <t>Engineering Principles of Drug Delivery</t>
  </si>
  <si>
    <t>Fundamental concepts in drug delivery from an engineering perspective. Biological organisms are viewed as highly interconnected networks where the surfaces/interfaces can be activated or altered “chemically” and “physically/mechanically.” The importance of intermolecular and interfacial interactions on drug delivery carriers is the focal point of this course. Topics include drug delivery mechanisms (passive, targeted); therapeutic modalities and mechanisms of action; engineering principles of controlled release and quantitative understanding of drug transport (diffusion, convection); effects of electrostatics, macromolecular conformation, and molecular dynamics on interfacial interactions; thermodynamic principles of selfassembly; chemical and physical characteristics of delivery molecules and assemblies (polymer based, lipid based); significance of biodistributions and pharmacokinetic models; toxicity issues; and immune responses.</t>
  </si>
  <si>
    <t>EN.545.668</t>
  </si>
  <si>
    <t>Introduction to Nonlinear Dynamics and Chaos</t>
  </si>
  <si>
    <t>An introduction to the phenomenology of nonlinear dynamic behavior with emphasis on models of actual physical, chemical, and biological systems, involving an interdisciplinary approach to ideas from mathematics, computing, and modeling. The common features of the development of chaotic behavior in both mathematical models and experimental studies are stressed, and the use of modern data-mining tools to analyze dynamic data will be explored. Emphasis will be placed on the geometric/visual computer-aided description and understanding of dynamics and chaos. Prerequisite(s): Knowledge of linear algebra and ordinary differential equations (at an undergraduate level); some computing experience is desirable.</t>
  </si>
  <si>
    <t>EN.545.671</t>
  </si>
  <si>
    <t>Advanced Thermodynamics in Practice</t>
  </si>
  <si>
    <t>In this graduate-level course, we will cover important principles in thermodynamics and kinetics along with examples relevant to engineering practice. After a short review of the first and second laws of thermodynamics, we will move on to their application in engines and refrigeration. We will discuss the thermodynamic properties of systems consisting of pure species and mixtures and address phase equilibria. With the key thermodynamic concepts in place, we will discuss topics in kinetics, including the fundamentals of reaction rates, rate laws, multiple reactions, and nonelementary reaction kinetics. Finally, we will address how reactor type and properties, transport limitations, and phase equilibria influence reaction rate.</t>
  </si>
  <si>
    <t>EN.545.672</t>
  </si>
  <si>
    <t>Green Engineering, Alternative Energy and CO2 Capture/Sequestration</t>
  </si>
  <si>
    <t>This course inherently combines green engineering, alternative energy and CO2 capture and storage into a concentrated semester lecture. Green Engineering applies the cost-effective design, commercialization, and use of chemical processes in ways that minimize pollution at the source, and reduce impact on human activities and the environment. After general discussion of applying environmental principles into various chemical processes, this course will switch the gear to apply these green engineering ideas into the energy production that has increasing and critical importance to our modern world, how to minimize the pollution and CO2 emission. There are two ways to follow: 1. Alternative Energy, which uses alternative resources rather than the current dominant fossil fuel for energy production. Alternative energy includes solar, hydro, bioenergy, geothermal, tidal, nuclear energy and et al. The detailed production processes, the long term perspective, policy and advantages/disadvantages over their counterpart, fossil fuel, will be discussed. 2. Fossil fuel with CO2 Capture and Storage. CO2 capture methods such as chemical solvents/chemical looping, membrane, oxy fuel combustion will be discussed and their technical benefits/limitations will be studied. The storage will cover geological methods (coal bed and saline aquifer), enhanced oil recovery, ocean storage, terrestrial and others. The technical details, cost, future trends and national/international policy (carbon taxes/markets) will be discussed in this course.</t>
  </si>
  <si>
    <t>EN.545.673</t>
  </si>
  <si>
    <t>Advanced Chemical Reaction Engineering in Practice</t>
  </si>
  <si>
    <t>Chemical reaction engineering deals with the analysis on data and the design of equipment in which reactions occur. Reactors may contain one or more phases and be used to conduct chemical or biochemical transformations. The course will cover the fundamental aspects of kinetics, data acquisition, data interpretation, heterogeneous catalysis, and heat and mass transfer for each type of reactor. Special emphasis will be placed on the practical application of reaction engineering in the petrochemical, chemical, biochemical, and materials industries. The course will make students aware of the needs and opportunities for chemical reaction engineering in industry.</t>
  </si>
  <si>
    <t>EN.545.691</t>
  </si>
  <si>
    <t>Chemical Engineering Modeling and Design for Graduate Students</t>
  </si>
  <si>
    <t>This course is one part of a two-semester sequence in chemical and biomolecular engineering product design. It is intended for students in the Chemical and Biomolecular Engineering master’s program. This course guides the student through the complex process of new product design. Product designconcerns the recognition of customer needs, the creation of suitable specifications, and the selection of best products to fulfill needs. Students work in small teams to develop a new product idea, design the product, and then iterate on prototype development. Students report several times on their accomplishments, both orally and in writing. Time is allowed so that laboratory tests can be performed and/or prototypes can be built.</t>
  </si>
  <si>
    <t>ep_civil_engineering</t>
  </si>
  <si>
    <t>EN.565.604</t>
  </si>
  <si>
    <t>Structural Mechanics</t>
  </si>
  <si>
    <t>This course presents basic solid mechanics for structural engineers, including stress, strain, and constitutive laws; linear elasticity and visco-elasticity; introduction to nonlinear mechanics; static, dynamic, and thermal stresses; specialization of theory to one- and two-dimensional cases; plane stress and plane strain, rods, and beams; work and energy principles; and variational formulations. Course Note(s): This course is a requirement for the general Civil Engineering program and the Structural Engineering focus area.</t>
  </si>
  <si>
    <t>EN.565.606</t>
  </si>
  <si>
    <t>Geotechnical Engineering Principles</t>
  </si>
  <si>
    <t>This course aims to review and reinforce knowledge of soil mechanics and geotechnical engineering principles for application in a variety of structural and civil engineering projects. The course presents examples of geotechnical engineering design problems. The course then discusses the origin of soil and types of soil, and various relations between weight and volume; methods used to characterize the index properties of soil, and classification of soil; theory of compaction; Darcy’s law and the role of permeability, and the theory of two-dimensional seepage; stresses induced in soil by footing and other loading; compressibility of soil, and consolidation and consolidation settlements; shear strength of soil and the laboratory methods of determining shear strength parameters; theories of lateral earth pressure and their application to the analysis of retaining walls; fundamentals of slope stability analysis; fundamentals of the bearing capacity analysis of shallow foundations; and methods of subsoil exploration. Prerequisite(s): 560.305 Soil Mechanics or equivalent. 560.305 is offered on-site through the full-time Civil Engineering Department. Course Note(s): This course is a requirement for the general Civil Engineering program.</t>
  </si>
  <si>
    <t>EN.565.608</t>
  </si>
  <si>
    <t>BIM Applications in Civil Engineering</t>
  </si>
  <si>
    <t>This course will introduce students to basic building information modeling (BIM) theory with an emphasis on how BIM is used in the design and construction of buildings. Students will learn how to model basic architectural, structural, and MEP systems in buildings using Autodesk Revit and how to schedule various model elements and create 2D drawings from the 3D model. They will be introduced to algorithmically generated content using Autodesk Dynamo.</t>
  </si>
  <si>
    <t>EN.565.616</t>
  </si>
  <si>
    <t>Applied Finite Element Methods</t>
  </si>
  <si>
    <t>This course will introduce finite element methods for the analysis of solids and structures. The following topics will be considered: procedure for defining a mechanics problem (governing equations, constitutive equations, boundary and initial value problems); theory and implementation of the finite element method for static analysis using linear elasticity; and the verification/validation of results using finite element analysis software.</t>
  </si>
  <si>
    <t>EN.565.619</t>
  </si>
  <si>
    <t>Advanced Structural Analysis</t>
  </si>
  <si>
    <t>The course will focus on matrix implementations of the stiffness method for the analysis of statically indeterminate structures such as plane/space trusses and plane/space frames. Computational aspects of the stiffness method will be discussed with connections made to commercial software. Linear elastic analysis will be the primary focus, but topics in nonlinear analysis will also be introduced.</t>
  </si>
  <si>
    <t>EN.565.620</t>
  </si>
  <si>
    <t>Advanced Steel Design</t>
  </si>
  <si>
    <t>This course examines advanced behavior of hot-rolled structural steel, primarily in the context of building systems. Strength and stability limit states are thoroughly considered, including torsional, flexural, lateral-torsional, and local buckling. Students will design plate girders, shear, and moment connections. Nonlinear behavior and the design of frame members per the Direct Analysis and Effective Length methods are an important focus. Students will illustrate how seismic framing systems behave. Standards of constructability and the professional role of a structural engineer will be explored. This course uses the current “Steel Construction Manual” code standard as published by the American Institute of Steel Construction (AISC). Prerequisite(s): Open to EP Civil Engineering students only, or students who have taken a first (undergraduate) course in Steel Design.</t>
  </si>
  <si>
    <t>EN.565.622</t>
  </si>
  <si>
    <t>Advanced Reinforced Concrete Design</t>
  </si>
  <si>
    <t>This intensive course covers reinforced concrete materials and specifications and includes the following topics: conception, analysis, and design of beams and columns, slabs, foundations and walls with emphasis on the ultimate strength method. Advanced seismic design topics are then covered building from the basic knowledge of reinforced concrete design. Prerequisite(s): Open to EP Civil Engineering students only, or students who have taken a first (undergraduate) course in Reinforced Concrete Design.</t>
  </si>
  <si>
    <t>EN.565.623</t>
  </si>
  <si>
    <t>Bridge Design and Evaluation</t>
  </si>
  <si>
    <t>Through lectures, design problems and existing bridge examples, this course illustrates basic bridge knowledge from preliminary design to final design of major structural components. The course covers conventional bridges and other bridge types, including concrete segmental box girders, arch bridges, and cable-stayed bridges. The course is not intended to provide students with intensive training in any particular area of bridge design. The course requires problem solving, a term project, and a final exam. A background in reinforced concrete design and steel design is required. Prerequisite(s): Open to EP Civil Engineering students only, or students who have taken a first (undergraduate) course in Steel Design and Reinforced Concrete Design.</t>
  </si>
  <si>
    <t>EN.565.625</t>
  </si>
  <si>
    <t>Cold-Formed Steel Design</t>
  </si>
  <si>
    <t>Cold-formed steel structures combine thin-walled efficiency with complex stability challenges. This course offers a unique blend of practical design, analytical theory, and modern computational tools. Through a mix of lectures and hands-on workshops, students will draw, calculate, program, and simulate together in class—building from fundamental behavior and design methods toward advanced research topics and real-world structural applications</t>
  </si>
  <si>
    <t>EN.565.626</t>
  </si>
  <si>
    <t>Design of Wood Structures</t>
  </si>
  <si>
    <t>This course introduces students to the design of wood structures. Wood structures may be constructed of sawn lumber, glulam, or engineered wood products. The primary focus in this class is on light-framed low-rise wood buildings constructed of sawn lumber or glulam, but concepts related to heavy timber-framed structures and tall wood buildings using cross-laminated timber (CLT) are introduced. Structural behavior under gravity and lateral loads is emphasized, as are analysis and design of the components within the gravity and lateral load resisting systems. The current version of the National Design Specification (NDS) for Wood Construction is used. A background in Steel Design or Reinforced Concrete Design is required. Prerequisite(s): Open to EP Civil Engineering students only, or students who have taken a first (undergraduate) course in Steel Design or Reinforced Concrete Design.</t>
  </si>
  <si>
    <t>EN.565.628</t>
  </si>
  <si>
    <t>Preservation Engineering I: Theory and Practice</t>
  </si>
  <si>
    <t>The renovation of existing buildings often holds many advantages over new construction, including greater economy, improved sustainability, and the maintenance of engineering heritage and architectural character in our built environment. Yet, the renovation of existing structures presents many challenges to structural engineers. These challenges include structural materials that are no longer in widespread use (e.g., unreinforced masonry arches and vaults, cast iron, and wrought iron) as well as structural materials for which analysis and design practices have changed significantly over the last half-century (e.g., wood, steel, and reinforced concrete). This first course in the theory and practice of preservation engineering will include a review of the building code requirements related to work on existing buildings and a discussion of the load paths (both vertical and horizontal) through such structures. Further, this course will begin its review of structural materials with those that were available prior to the Industrial Revolutionnamely masonry and timber. The course will conclude with an overview of the response of wood structures to wind and seismic loads. Wood deterioration mechanisms and structural repair strategies for wood will also be presented.</t>
  </si>
  <si>
    <t>EN.565.630</t>
  </si>
  <si>
    <t>Prestressed Concrete Design</t>
  </si>
  <si>
    <t>Topics include prestressed concrete concepts for both pretensioning and post-tensioning: materials, types of prestress, and prestress losses; design of sections for flexure, shear, torsion, and compression; load balancing technique; consideration of partial prestress, composite sections, and slab systems. Prerequisite(s): Open to EP Civil Engineering students only, or students who have taken a first (undergraduate) course in Reinforced Concrete Design.</t>
  </si>
  <si>
    <t>EN.565.631</t>
  </si>
  <si>
    <t>Preservation Engineering II: Theory &amp; Practice</t>
  </si>
  <si>
    <t>Building on the content in Preservation Engineering I: Theory and Practice, this course will begin with materials introduced at the start of the Industrial Revolution-namely with the beginning of the use of iron materials as major structural elements within buildings. The course will continue with the introduction of cast iron, wrought iron, and finally, structural steel members. After introducing iron materials the course will continue with the early use of reinforced concrete as a major structural material. The course will discuss the historic structural analysis methods associated with such materials and contrast such methods with more modern analytical approaches. It will also discuss concrete deterioration and repair methods. Concepts related to masonry facade investigation and repair will be presented along with the analytical methods associated with thin-shell masonry construction from the 19th and 20th centuries. The course will conclude with a review of the assessment and retrofit of historic foundations.</t>
  </si>
  <si>
    <t>EN.565.633</t>
  </si>
  <si>
    <t>Investigation, Diagnosis, and Rehabilitation</t>
  </si>
  <si>
    <t>Why do buildings deteriorate? And how do we investigate and diagnose the causes, as well as design and implement appropriate solutions? This course examines the deterioration of building materials and systems caused by both humans and nature. Through weekly lectures and one weekend workshop, students will learn how to plan and execute an investigation, identify the symptoms, determine what tests are needed, diagnose the causes, and design and administer necessary repairs to address deterioration and system deficiencies. Weekly lectures will use a combination of Virtual Live and online formats; a weekend workshop in Baltimore (date TBD) will include hands-on activities and a field trip to a local project site.</t>
  </si>
  <si>
    <t>EN.565.636</t>
  </si>
  <si>
    <t>Lateral Forces: Analysis and Design of Building Structures</t>
  </si>
  <si>
    <t>From earthquakes to wind events, lateral forces constitute some of the most extreme loading conditions for which new and existing building structures must be analyzed and designed to resist. This course provides a fundamental yet practical introduction to the development and application of earthquake and wind loadings on building structures, the dynamic response and behavior of structures to lateral forces, and the bases and requirements for ductile design and detailing of steel, concrete, wood, and masonry lateral force resisting elements. The course will build on these analysis and design fundamentals to examine the technical considerations and methodologies for evaluating the lateral force resisting systems of existing, oftentimes monumental, building structures, and for designing and implementing repairs and retrofits to these lateral systems, including the application of Performance Based Design. This course is co-listed with 560.615.</t>
  </si>
  <si>
    <t>EN.565.637</t>
  </si>
  <si>
    <t>Preservation Engineering in the Urban Context</t>
  </si>
  <si>
    <t>Technical expertise is fundamental to design and construction within and around historic buildings in the urban context. This course will cover topics related to both design and construction. For below-grade engineering, the course will cover underpinning, bracket piles, secant piles, slurry walls, tie-backs and general shoring approaches to building below or adjacent to existing constructions. For upward additions to existing construction, the course covers strengthening techniques (including temporary shoring and bracing, temporary access options, and temporary protection) and the requirements of the International Existing Building Code (IEBC). Each class will provide both technical guides and case studies, offering perspectives from guest speakers practicing the diverse range of professions tasked to meet this challenge.</t>
  </si>
  <si>
    <t>EN.565.641</t>
  </si>
  <si>
    <t>Fundamentals of Construction Management</t>
  </si>
  <si>
    <t>This course introduces the basic principles and elements required to organize, operate, and manage small-, medium-, and large-sized construction companies and projects. It focuses on the operation from the executive perspective: contractual responsibilities and the roles of contractor, owner, and design/engineering professionals. Students will be introduced to building information modeling technology for operations. It also explores the issues of labor relations, accounting, financing, and dispute resolution.</t>
  </si>
  <si>
    <t>EN.565.658</t>
  </si>
  <si>
    <t>Natural Disaster Risk Modeling</t>
  </si>
  <si>
    <t>Natural hazards such as floods, earthquakes, and hurricanes exert a heavy toll of victims and economic losses every year. Yet, concentrations of population in hazard-prone-areas, the growth of infrastructure and climate change are aggravating the risk of future losses. Consequently, adequate interventions must be implemented to mitigate the damaging effects of natural hazards. To do this, public agencies, non-profits, and companies formulate mitigation actions such as emergency preparedness plans and building retrofits. Catastrophe models are tools to inform all these efforts, which simulate the socioeconomic risk resulting from the interaction of geophysical events and the spatial distribution of infrastructure.Course note(s): This course is cross-listed with 575.658 Natural Disaster Risk Modeling.</t>
  </si>
  <si>
    <t>EN.565.664</t>
  </si>
  <si>
    <t>Advanced Foundation Design</t>
  </si>
  <si>
    <t>This course will introduce the principles and specifics of the geotechnical design of shallow and deep foundations. Topics include design of shallow foundations, including spread footings, combined footings and mat foundations; design of deep foundations, including single piles, pile groups and drilled shafts; design of laterally-loaded piles; construction monitoring and testing methods for driven piles; design of foundations for vibration control; foundations on difficult soils; underpinning; and design of buried culverts. Recommended prerequisite: 565.606 Geotechnical Engineering Principles</t>
  </si>
  <si>
    <t>EN.565.680</t>
  </si>
  <si>
    <t>Marine Geotechnical Engineering</t>
  </si>
  <si>
    <t>This course introduces students to soil mechanics in the marine environment. Topics covered include the nature of marine sediments, soil behavior due to cyclic loading, marine geotechnical investigations, shallow foundations and dead-weight anchors, pile foundations and anchors, penetration and breakout of objects on the seafloor, and project planning. Prerequisite(s): Open to EP Civil Engineering students only, or students who have taken 565.606 Geotechnical Engineering Principles.</t>
  </si>
  <si>
    <t>EN.565.682</t>
  </si>
  <si>
    <t>Design of Ocean Structures</t>
  </si>
  <si>
    <t>This course presents a review of structural design theory and practice related to ocean structures. Basic elements of ocean structures are designed using current engineering design codes developed by the American Institute of Steel Construction (AISC) and American Petroleum Institute (API). Topics include ocean environmental forces, material selection, foundation design, and analysis/design of ocean structures.</t>
  </si>
  <si>
    <t>EN.565.684</t>
  </si>
  <si>
    <t>Port &amp; Harbor Engineering</t>
  </si>
  <si>
    <t>Planning and engineering of ports and harbors has received renewed worldwide interest as the newest super-large cargo ships push the envelope for channel depth and berth space. This course covers planning of marine terminals and small craft harbors, ship berthing and maneuvering considerations, operational and environmental loads, fender system design, and mooring loads and design principles.</t>
  </si>
  <si>
    <t>EN.565.686</t>
  </si>
  <si>
    <t>Sustainable Coastal Engineering</t>
  </si>
  <si>
    <t>This course presents a review of sustainable engineering related to the ocean environment. Sustainable shore protection designs will be investigated such as living shorelines and sills, beach nourishment, and other sustainable methods in order to adapt to coastal hazards such as hurricanes, tsunamis, and sea level rise. Sustainable energy such as coastal wind energy, wave energy, tidal energy, and other sustainable energy sources will be also investigated as alternative energy designs. The importance of sustainable food production will be discussed and aquaculture system designs such as ocean aquaculture, shellfish aquaculture, and other sustainable food production will be studied.</t>
  </si>
  <si>
    <t>EN.565.716</t>
  </si>
  <si>
    <t>Artificial Intelligence in Civil Engineering Applications</t>
  </si>
  <si>
    <t>Applied AI in Civil Engineering equips working professionals and advanced students to apply modern data and AI methods to realistic civil engineering scenarios while operating within the constraints of online learning and modest computational resources. The course assumes prior exposure to Python and statistics at the introductory level and is optimized for Google Colab on free CPU/GPU using small, openly available datasets. Students progress from a fast Python/pandas/geospatial recap to problem framing, classical machine learning, lightweight neural networks, computer vision and time-series baselines, document-focused NLP/LLMs, and concise governance practices. Applications to multiple subdisciplines within civil engineering will be demonstrated, including Structural Engineering, Geotechnical Engineering, and Ocean &amp; Coastal Engineering. Typical tasks include cleaning inspection and sensor tables, producing clear plots and simple maps, framing CE questions as ML tasks with appropriate metrics, training and validating compact scikit-learn/Keras models, applying transfer learning for condition tagging, preparing walk-forward forecasts and anomaly flags, summarizing and routing CE documentation with NLP/LLMs, and documenting risk, fairness, and model limitations for stakeholders.</t>
  </si>
  <si>
    <t>EN.565.720</t>
  </si>
  <si>
    <t>Special Topics in Civil Engineering Structures</t>
  </si>
  <si>
    <t>This course will address emerging topics in the field of structural engineering that are relevant in professional practice. The course is primarily intended for students who are either practicing structural engineers or future practicing structural engineers, but it also covers topics that could lead into research ideas for those graduate students who may be seeking a career in the academia. Through lectures, learning activities and assignments, this course takes a deep dive into a selection of topics with a focus on their application in real structural engineering projects. Examples include Design of Composite Members, Structural Stability, Shape Memory Alloys and other Innovative Materials, Special/prequalified and Proprietary Lateral Load Resisting Systems, Sustainability in Structural Designs, Welded Connections, Fracture Mechanics in Structures, Fiber-Reinforced Polymer Systems for Strengthening of Reinforced Concrete Structures, Nondestructive Evaluation of Structures, and Secure Structural Design.</t>
  </si>
  <si>
    <t>EN.565.731</t>
  </si>
  <si>
    <t>Structural Dynamics</t>
  </si>
  <si>
    <t>This course provides an overview of rigid-body dynamics, free and deterministic forced vibration of undamped and damped single- and multi-degree-of-freedom systems, vibration of continuous systems, approximate methods of analysis, and introduction to random vibration of linear systems. Applications of the principles of structural dynamics to determine a structure’s earthquake response are also covered. Instructor assumes that students who enroll in this course have a basic understanding of stiffness and stiffness matrices.</t>
  </si>
  <si>
    <t>EN.565.732</t>
  </si>
  <si>
    <t>Earthquake Engineering</t>
  </si>
  <si>
    <t>Topics for this course include plate tectonics, seismicity of Earth, and engineering seismology-including quantification and classification of earthquake ground motions, dynamics of structures subjected to earthquake loads, design spectra, building code provisions, design concepts and detailing, soilstructure interaction, and response of special structures.</t>
  </si>
  <si>
    <t>EN.565.734</t>
  </si>
  <si>
    <t>Wind Engineering</t>
  </si>
  <si>
    <t>This course covers atmospheric circulation, atmospheric boundary layer winds, bluff-body aerodynamics, modeling of wind-induced loads, introduction to random vibration theory, response of structures to fluctuating wind loads, aeroelastic phenomena, wind-tunnel and full-scale testing, computational wind engineering, non-synoptic winds (hurricanes, tornadoes, etc.), and wind-load standards and design applications.</t>
  </si>
  <si>
    <t>EN.565.736</t>
  </si>
  <si>
    <t>Structural Fire Engineering</t>
  </si>
  <si>
    <t>This course will discuss the analysis and design of structures exposed to fire. It will cover the fundamentals of fire behavior, heat transfer, the effects of fire loading on materials and structural systems, and the principles and design methods for fire resistance design. Particular emphasis will be placed on the advanced modeling and computational tools for performance-based design. Applications of innovative methods for fire resistance design in large structural engineering projects, such as stadiums and tall buildings, will also be presented.</t>
  </si>
  <si>
    <t>EN.565.740</t>
  </si>
  <si>
    <t>Structural Stability</t>
  </si>
  <si>
    <t>This course is focused on the foundational principles of stability and equilibrium in solid mechanics, specifically structural and mechanical engineering problems. Topics covered include stability criteria, energy and variational methods, and the elastic buckling of elements such as columns, beams, frames, plates, and shells. The derivation and evolution of stability solutions are presented. Furthermore, the integration of stability theory into both finite element and finite strip methods is discussed. The application of stability theory in design standards, with an emphasis on structural steel and cold-formed steel structures, is also reviewed. A basic understanding of structural analysis and numerical methods are required.</t>
  </si>
  <si>
    <t>EN.565.762</t>
  </si>
  <si>
    <t>Ground Improvement Methods</t>
  </si>
  <si>
    <t>This course addresses the selection, cost, design, construction, and monitoring of ground improvement methods for problematic soils and rock. Ground improvement methods covered include wick drains, micropiles, lightweight fill materials, soil nailing, mechanically stabilized slopes and walls, grouting, stone columns, dynamic compaction, and soil mixing. Prerequisite(s): 560.330 Foundation Design or equivalent and 565.606 Geotechnical Engineering Principles. 560.330 is offered on-site through the full-time Civil Engineering Department.</t>
  </si>
  <si>
    <t>EN.565.764</t>
  </si>
  <si>
    <t>Retaining Structures and Slope Stability</t>
  </si>
  <si>
    <t>Topics for this course include earth pressure theories; design and behavior of rigid, flexible, braced, tied-back, slurry, and reinforced soil structures; stability of excavation, cut, and natural slopes; methods of slope stability analysis; effects of water forces; shear strength selection for analysis; and stability and seepage in embankment dams. Prerequisite(s): Open to EP Civil Engineering students only, or students who have taken 565.606 Geotechnical Engineering Principles.</t>
  </si>
  <si>
    <t>computer_science</t>
  </si>
  <si>
    <t>EN.605.601</t>
  </si>
  <si>
    <t>Foundations of Software Engineering</t>
  </si>
  <si>
    <t>Fundamental software engineering techniques and methodologies commonly used during software development are studied. Topics include various life cycle models, project planning and estimation, requirements analysis, program design, construction, testing, maintenance and implementation, software measurement, and software quality. Emphasized are structured and object-oriented analysis and design techniques, use of process and data models, modular principles of software design, and a systematic approach to testing and debugging. The importance of problem specification, programming style, periodic reviews, documentation, thorough testing, and ease of maintenance are covered. Course Note(s): The required foundation courses may be taken in any order but must be taken before other courses in the degree.</t>
  </si>
  <si>
    <t>EN.605.603</t>
  </si>
  <si>
    <t>Object-Oriented and Functional Programming in Kotlin</t>
  </si>
  <si>
    <t>This course introduces object-oriented and functional programming in the new programming language Kotlin. Kotlin runs on multiple platforms and virtually anywhere, compiling to native code, JavaScript, the Android runtime, and the Java Virtual Machine. It easily interacts with other Java code. Through this course, you’ll become adept at Kotlin programming, an easier-to-use, safer and more productive language than Java. We’ll cover the basics of the language, including data types, functions and collections, object-oriented features such as classes, encapsulation, inheritance, composition, delegation and generics, and functional features such as immutability, higher-order functions and functional chaining. You’ll learn how to create multi-threaded applications using coroutines and builders that will simplify the use of your libraries using simple Domain-Specific languages. Students will build several projects in Kotlin. Pre-requisites: Competence in a procedural language (such as C, Pascal, or Visual Basic) or object-oriented language (such as Java or C++). Note that this is not an “introduction to programming” class and cannot substitute for EN.605.201 ; we assume familiarity with programming in general.</t>
  </si>
  <si>
    <t>EN.605.604</t>
  </si>
  <si>
    <t>Object-Oriented Programming with C++</t>
  </si>
  <si>
    <t>This course provides in-depth coverage of object-oriented programming principles and techniques using C++. Topics include classes, overloading, data abstraction, information hiding, encapsulation, inheritance, polymorphism, file processing, templates, exceptions, container classes, and low-level language features. The course briefly covers the mapping of UML design to C++ implementation and object-oriented considerations for software design and reuse. The course also relates C++ to GUI, databases, and real-time programming. The course material embraces the C++11 language standard with numerous examples demonstrating the benefits of C++11. Prerequisite(s): Knowledge of a high level block structures language.</t>
  </si>
  <si>
    <t>EN.605.606</t>
  </si>
  <si>
    <t>Programming with Domain-Specific Languages</t>
  </si>
  <si>
    <t>Domain-specific languages (DSLs) are little languages you write that look and feel like a spoken way to specify data or write code. You can use them for input and output, incorporating the jargon and nomenclature of your subject-matter experts (SMEs), as well as inside your own code to make it more expressive and fluent, and often simpler. You can use them as part of your build process to generate hundreds of classes full of otherwise tedious and error-prone boilerplate code from a small specification in a consistent manner. In this course, we’ll design and implement several types of DSLs. We’ll write code to edit and import data, allowing SMEs more natural-feeling access to your software. We’ll create APIs in multiple programming languages to make it easier and more secure for others to use your libraries. We’ll generate code to improve productivity and reliability in your own software. Course Note(s): Examples and assignments in this class will be done in several programming languages. We assume a high comfort level with Java and the ability to adapt to new languages quickly.</t>
  </si>
  <si>
    <t>EN.605.607</t>
  </si>
  <si>
    <t>Agile Software Development Methods</t>
  </si>
  <si>
    <t>This course emphasizes the quick realization of system value through disciplined, iterative, and incremental software development techniques and the elimination of wasteful practices. Students will study the full spectrum of agile methods, including Scrum, Extreme Programming, Lean, Kanban, Dynamic Systems Development Method, and Feature-Driven Development. These methods promote teamwork, rich concise communication, and the frequent delivery of running, tested systems containing the highest-priority stakeholder features. Agile methods are contrasted with common workplace practices and traditional, Waterfall-based methods. Examples of agile adoption in industry are covered, along with scaling methods for large-scale development. Assignments and projects are designed to help students apply agile principles and practices in their own professional or academic context. Additional subthemes in the course include enterprise agility, team dynamics, collaboration, software quality, and metrics for reporting progress.</t>
  </si>
  <si>
    <t>EN.605.608</t>
  </si>
  <si>
    <t>Software Project Management</t>
  </si>
  <si>
    <t>This course describes the key aspects of a software project. It begins with the job description of a software manager and then addresses those topics germane to successful software development management, including organizing the software development team; interfacing with other engineering organizations (systems engineering, quality assurance, configuration management, and test engineering); assessing development standards; selecting the best approach and tailoring the process model; estimating software cost and schedule; planning and documenting the plan; staffing the effort; managing software cost and schedule during development; risk engineering; and continuous process improvement. Personnel management topics, including performance evaluations, merit planning, skills building, and team building, are also covered. This course introduces software engineers aspiring to become technical team leaders or software project managers to the responsibilities of these roles. For those engineers who have advanced to a software development leadership position, this course offers formal training in software project management. Prerequisite(s): Three to five years technical work experience is recommended.</t>
  </si>
  <si>
    <t>EN.605.609</t>
  </si>
  <si>
    <t>DevOps and Secure Software Development</t>
  </si>
  <si>
    <t>This course focuses on three key concepts: Agile Software Development, Infrastructure as Code, and Secure Software Delivery. Throughout this course students will learn how to build modern software systems through version control, automated deployment techniques, and improved documentation. This course gathers the latest publications to instruct students on: source code control, virtualization and containerization (Docker) techniques, build automation tools, software composition management/analysis, cloud security, and application security testing (SAST/DAST/IAST/RASP). The course concludes with a team project where students code a functioning DevSecOps pipeline to automate the assessment of software for security.Prerequisite(s): Prior experience in software development in any language is required. Familiarity with software design, cloud development, and architecture techniques is recommended.</t>
  </si>
  <si>
    <t>EN.605.611</t>
  </si>
  <si>
    <t>Foundations of Computer Architecture</t>
  </si>
  <si>
    <t>This course provides a detailed examination of the internal structure and operation of modern computer systems. Each of the major system components is investigated, including the following topics: the design and operation of the ALU, FPU, and CPU; microprogrammed vs. hardwired control, pipelining, and RISC vs. CISC machines; the memory system including caches and virtual memory; parallel and vector processing, multiprocessor systems and interconnection networks; superscalar and super-pipelined designs; and bus structures and the details of low-level I/O operation using interrupt mechanisms, device controllers, and DMA. The impact of each of these topics on system performance is also discussed. The instruction set architectures and hardware system architectures of different machines are examined and compared. The classical Von Neumann architecture is also compared and contrasted with alternative approaches such as data flow machines and neural networks. Course Note(s): The required foundation courses may be taken in any order but must be taken before other courses in the degree.</t>
  </si>
  <si>
    <t>EN.605.612</t>
  </si>
  <si>
    <t>Operating Systems</t>
  </si>
  <si>
    <t>The theory and concepts related to operating system design are presented from both developer and user perspectives. Core concepts covered include process management, memory management, file systems, I/O system management including device drivers, distributed systems, and multi-user concepts including protection and security. Process management discussions focus on threads, scheduling, and synchronization. Memory management topics include paging, segmentation, and virtual memory. Students will examine how these concepts are realized in several current open-source operating systems, including Linux. Students will complete several assignments that require the design and implementation of operating system programs using a high-level language.</t>
  </si>
  <si>
    <t>EN.605.613</t>
  </si>
  <si>
    <t>Introduction to Robotics</t>
  </si>
  <si>
    <t>This course introduces the fundamentals of robot design and development with an emphasis on autonomy. Robot design, navigation, obstacle avoidance, and artificial intelligence will be discussed. Topics covered in robot design include robot structure, kinematics and dynamics, the mathematics of robot control (multiple coordinate systems and transformations), and designing for autonomy. Navigation topics include path planning, position estimation, sensors (e.g., vision, ultrasonics, and lasers), and sensor fusion. Obstacle avoidance topics include obstacle characterization, object detection, sensors and sensor fusion. Topics to be discussed in artificial intelligence include learning, reasoning, and decision making. Students will deepen their understanding through several assignments and the term-long robot development project.</t>
  </si>
  <si>
    <t>EN.605.614</t>
  </si>
  <si>
    <t>System Development in the UNIX Environment</t>
  </si>
  <si>
    <t>This course describes how to implement software systems in a UNIX (POSIX-compliant) operating system environment. Students will discuss and learn the complexities, methodologies, and tools in the development of large systems that contain multiple programs. Topics include an overview of the UNIX system and its general-purpose tools, advanced makefile usage, UNIX system calls, UNIX process management, threads, and basic and advanced interprocess communication. Additional topics include source code configuration control, Perl, and debugging techniques.Prerequisite(s): Familiarity with UNIX, experience with C++ or C.</t>
  </si>
  <si>
    <t>EN.605.615</t>
  </si>
  <si>
    <t>Compiler Design with LLVM</t>
  </si>
  <si>
    <t>The components of a compiler appear in every software application that handles input from an external source. This course shows how the components of a compiler are built and how they fit together to extract meaning from the input and how the data flows through the compiler’s components to become useful to applications. Students will get practical experience in how to use the LLVM tools to build a complete compiler for a subset of the C++ programming language that can target almost any platform. Students will also get experience in developing a “Just In Time” component for an application that will accept code as input into the application while it is running, to be compiled and linked into the application so the application can execute it. Prerequisites: This course has no formal prerequisites, but experience with C++ is highly recommended because LLVM is written in C++, and therefore, all homework will be in C++, and this course is software homework intensive.</t>
  </si>
  <si>
    <t>EN.605.616</t>
  </si>
  <si>
    <t>Multiprocessor Architecture &amp; Programming</t>
  </si>
  <si>
    <t>This course addresses how to utilize the increasing hardware capabilities of multiprocessor computer architecture’s highperformance computing platforms for software development. The famous Moore’s Law is still alive, although it is now realized from increasing the number of CPU cores instead of increasing CPU clock speed. This course describes the differences between single-core and multi-core systems and addresses the impact of these differences in multiprocessor computer architectures and operating systems. Parallel programming techniques to increase program performance by leveraging the multiprocessor system, including multi-core architectures, will be introduced. Additional topics include program performance analysis and tuning, task parallelism, synchronization strategies, shared memory access and data structures, and task partition techniques. The course encourages hands-on experience with projects selected by the student.</t>
  </si>
  <si>
    <t>EN.605.617</t>
  </si>
  <si>
    <t>Introduction to GPU Programming</t>
  </si>
  <si>
    <t>This course will teach the fundamentals needed to utilize the ever-increasing power of the GPUs housed in the video cards attached to our computers. For years, this capability was limited to the processing of graphics data for presentation to the user. With the CUDA and OpenCL frameworks, programmers can develop applications that harness this power directly to search, modify, and quickly analyze large amounts of various types of data. Students will be introduced to core concurrent programming principles, along with the specific hardware and software considerations of these frameworks. In addition, students will learn canonical algorithms used to perform high-precision mathematics and data transformations. Class time will be split between lectures and hands-on exercises. There will be two individual projects in both CUDA and OpenCL programming, which will allow students to independently choose demonstrable goals, develop software to achieve those goals, and present the results of their efforts.</t>
  </si>
  <si>
    <t>EN.605.618</t>
  </si>
  <si>
    <t>Introduction to High Performance Computing</t>
  </si>
  <si>
    <t>This course provides an introduction to architectures, programming models, and optimization strategies for parallel and high performance computing systems. This course begins by defining what constitutes parallel computing and a high performance system. We will address the rudimental architectural characteristics of distributed and shared memory systems and their respective programing paradigms. We will discuss how to leverage HPC systems to solve large scale problems in a variety of applications such as image processing, deep learning, and molecular dynamics. The course will conclude with a discussion of evaluating deep neural networks on high-performance computing resources. Students will complete a number of assignments along with a project demonstrating particular applications on parallel processing systems.</t>
  </si>
  <si>
    <t>EN.605.620</t>
  </si>
  <si>
    <t>Algorithms for Bioinformatics</t>
  </si>
  <si>
    <t>This follow-on course to data structures (e.g., EN.605.202 Data Structures) provides a survey of computer algorithms, examines fundamental techniques in algorithm design and analysis, and develops problem-solving skills required in all programs of study involving computer science. Topics include advanced data structures (red-black and 2-3-4 trees, union-find), recursion and mathematical induction, algorithm analysis and computational complexity (recurrence relations, big-O notation, introduction to NP-completeness), sorting and searching, design paradigms (divide and conquer, greedy heuristic, dynamic programming), and graph algorithms (depth-first and breadth-first search, minimum spanning trees). Advanced topics are selected from among the following: multithreaded algorithms, matrix operations, linear programming, string matching, computational geometry, and approximation algorithms. Students will form groups to work on difficult problems and also to present an advanced topic at the end of the term. The course will draw on applications from Bioinformatics. Prerequisite(s): EN.605.202 Data Structures or equivalent, and EN.605.201 Introduction to Programming Using Java or EN.605.206 Introduction to Programming in Python or equivalent. EN.605.203 Discrete Mathematics or equivalent is recommended. Course Note(s): This course does not satisfy the foundation course requirement for Computer Science, Data Science, or Cybersecurity. Students can only earn credit for one of EN.605.620 , EN.605.621 , EN.685.621 or EN.705.621</t>
  </si>
  <si>
    <t>EN.605.621</t>
  </si>
  <si>
    <t>Foundations of Algorithms</t>
  </si>
  <si>
    <t>This follow-on course to data structures (e.g., EN.605.202 ) provides a survey of computer algorithms, examines fundamental techniques in algorithm design and analysis, and develops problem-solving skills required in all programs of study involving computer science. Topics include advanced data structures (red-black and 2-3-4 trees, union-find), recursion and mathematical induction, algorithm analysis and computational complexity (recurrence relations, big-O notation, NP-completeness), sorting and searching, design paradigms (divide and conquer, greedy heuristic, dynamic programming, amortized analysis), and graph algorithms (depth-first and breadth-first search, connectivity, minimum spanning trees, network flow). Advanced topics are selected from among the following: randomized algorithms, information retrieval, string and pattern matching, and computational geometry. Prerequisite(s): EN.605.202 Data Structures or equivalent. EN.605.203 Discrete Mathematics or equivalent is recommended. Course Note(s): The required foundation courses may be taken in any order but must be taken before other courses in the degree. Students can only earn credit for one of EN.605.620 , EN.605.621 , EN.685.621 or EN.705.621</t>
  </si>
  <si>
    <t>EN.605.622</t>
  </si>
  <si>
    <t>Computational Signal Processing</t>
  </si>
  <si>
    <t>This course introduces algorithms and architectures for the analysis and processing of digital signals, taking the computer science perspective. It emphasizes computational complexity and efficiency and the design and implementation of computer algorithms for processing signals, designing digital filters, and effectively presenting and displaying information. Topics include signal analysis, discrete Fourier transform (definition, applications, and fast algorithms), convolution and correlation, spectral estimation and display, filter design, signal encoding/decoding, time-frequency analysis, Software Defined Radio (SDR), arithmetic computational complexity, and applications Background in signal processing and mathematics will be introduced as needed.</t>
  </si>
  <si>
    <t>EN.605.624</t>
  </si>
  <si>
    <t>Logic: Systems, Semantics, and Models</t>
  </si>
  <si>
    <t>Traditionally, logic is the study of correct reasoning. In the last few decades, logic has become increasingly important to knowledge representation -- a subfield of artificial intelligence concerned with developing representations of the world (often called ontologies) that aid computers in understanding and making sense of data. This course will promote both a theoretical and practical understanding of logic as a stepping stone for working in contemporary knowledge representation. We will begin with a review of categorical, propositional, and predicate logic. We will then survey modal logics, which include systems that represent necessity and probability, as well as other systems that represent time, and moral notions such as obligation and permissibility. The second half of the course will then introduce the semantic web and ontology engineering. Students will explore the top-level ontology Basic Formal Ontology (BFO) and gain familiarity using mereological and temporal relations. In addition, students will create ontologies in the web ontology language (OWL2) and use the language SPARQL to query knowledge graphs. Students will have the option of writing either a research paper or creating an ontology in OWL with slides as part of a final project.</t>
  </si>
  <si>
    <t>EN.605.625</t>
  </si>
  <si>
    <t>This course introduces the fundamentals behind the mathematical and logical framework of graphical models. These models are used in many areas of machine learning and arise in numerous challenging and intriguing problems in data analysis, mathematics, and computer science. For example, the “big data” world frequently uses graphical models to solve problems. While the framework introduced in this course will be largely mathematical, we will also present algorithms and connections to problem domains. The course will begin with the fundamentals of probability theory and will then move into Bayesian networks, undirected graphical models, template based models, and Gaussian networks. The nature of inference and learning on the graphical structures will be covered, with explorations of complexity, conditioning, clique trees, and optimization. The course will use weekly problem sets and a term project to encourage mastery of the fundamentals of this emerging area. Prerequisite(s): Graduate course in probability and statistics (such as EN.625.603 Statistical Methods and Data Analysis). Course Note(s): This course is the same as EN.625.692 Probabilistic Graphical Models.</t>
  </si>
  <si>
    <t>EN.605.626</t>
  </si>
  <si>
    <t>Image Processing</t>
  </si>
  <si>
    <t>Fundamentals of image processing are covered, with an emphasis on digital techniques. Topics include digitization, enhancement, segmentation, the Fourier transform, filtering, restoration, reconstruction from projections, and image analysis including computer vision. Concepts are illustrated by laboratory sessions in which these techniques are applied to practical situations, including examples from biomedical image processing. Prerequisite(s): Familiarity with Fourier transforms.</t>
  </si>
  <si>
    <t>EN.605.628</t>
  </si>
  <si>
    <t>Introduction to Quantum Machine Learning</t>
  </si>
  <si>
    <t>This course provides an advanced exploration to Quantum Machine Learning (QML), a paradigm that fundamentally differs from classical machine learning by leveraging superposition, entanglement, and interference to represent data, construct models, and perform optimization in high-dimensional quantum spaces. Students will study both fault-tolerant and near-term (NISQ) approaches, including variational quantum circuits, quantum kernel methods, QAOA, quantum annealing, HHL-based linear algebra techniques, and hybrid quantum-classical learning architectures. The course also examines current research topics shaping the field, including barren plateau theory, circuit expressivity and trainability, quantum advantage, scalability, and noise-aware system design. Emphasis is placed on both theoretical foundations and practical implementation challenges. Through a substantial implementation-driven project, students will design, benchmark, and analyze a quantum learning model, culminating in a research-style paper evaluating its theoretical basis, experimental performance, and real-world feasibility.</t>
  </si>
  <si>
    <t>EN.605.629</t>
  </si>
  <si>
    <t>Programming Languages</t>
  </si>
  <si>
    <t>A programming language provides instructions to a computing device to perform tasks. A language has a vocabulary and a set of grammatical rules to shape and frame the communication between the user and the computing device. The Programming Languages course compares and contrasts a wide variety of features of numerous old and new programming languages, including programming language history; formal methods of describing syntax and semantics; names, binding, type checking, and scopes; data types; expressions and assignment statements; statement-level control structures; design and implementation of subprograms; lambda calculus; exception handling; support for object-oriented programming; and concurrency. Our course will also introduce logic programming and theorem proving through Prolog, Objective Caml, and Coq framework. The course will survey the fundamental concepts underlying modern programming languages with the goal of understanding paradigms, but not vocational training in any given language. Several examples will be drawn from C, C++, Java, Python, ML, JavaScript, Scheme, Prolog, and Coq.</t>
  </si>
  <si>
    <t>EN.605.630</t>
  </si>
  <si>
    <t>Theory of Computation</t>
  </si>
  <si>
    <t>This is a graduate-level course studying the theoretical foundations of computer science. Topics covered will be models of computation from automata to Turing machines, computability, time and space complexity theory, Boolean circuits, and interactive proof systems.</t>
  </si>
  <si>
    <t>EN.605.631</t>
  </si>
  <si>
    <t>Statistical Methods for Computer Science</t>
  </si>
  <si>
    <t>Statistical methods are the foundation for data science, artificial intelligence, and much of the field of computer science. Topics include probability, random variables, regression, gradient search, Bayesian methods, graphical methods, and exponential random graph models. Student will have the foundation to excel in future courses in machine learning, data science, algorithms, and more. Practice exercises will develop proficiency in the R programming language.</t>
  </si>
  <si>
    <t>EN.605.632</t>
  </si>
  <si>
    <t>Graph Analytics</t>
  </si>
  <si>
    <t>Graphs are a flexible data structure that facilitates fusion of disparate data sets. Applications of graphs have shown steady growth with the development of Internet, cyber, and social networks, presenting large graphs for which analysis remains a challenging problem. This course introduces algorithms and techniques to address large-scale graph analytics. It will blend graph analytics theory, hands-on development of graph analytics algorithms, as well as processing approaches that support the analytics. We will start by introducing graphs, their properties, and example applications, including necessary background on probability and linear algebra. Statistical properties of random and scale-free graphs will be introduced. Graph analytic methods, including centrality measures, graph clustering, partitioning, link inference, and dynamic graph processes such as diffusion, contagion, and opinion formation will be covered. Application of graph analytics to high-dimensional data analysis and data clustering will be discussed. Students will use standard graph interfaces as well as linear algebra-based methods to analyze graphs. Parallelization of analytics to handle larger-scale graphs will be discussed. Students will identify and apply suitable algorithms and analysis techniques to a variety of graph analytics problems, as well as gain experience setting up and solving these problems. There will be hands-on programming assignments.</t>
  </si>
  <si>
    <t>EN.605.633</t>
  </si>
  <si>
    <t>Social Media Analytics</t>
  </si>
  <si>
    <t>Today an immense social media landscape is being fueled by new applications, growth of devices (e.g., Smartphones and devices), and human appetite for online engagement. With a myriad of applications and users, significant interest exists in the obvious question, “How does one better understand human behavior in these communities to improve the design and monitoring of these communities?” To address this question a multidisciplinary approach that combines social network analysis (SNA), natural language processing, and data analytics is required. This course combines all these topics to address contemporary topics such as marketing, population influence, etc. There will be several small projects. Prerequisite(s): Knowledge of Python or R; matrix algebra.</t>
  </si>
  <si>
    <t>EN.605.635</t>
  </si>
  <si>
    <t>Cloud Computing</t>
  </si>
  <si>
    <t>Cloud computing helps organizations realize cost savings and efficiencies without spending capital resources up front, while modernizing and expanding their IT capabilities. Cloud-based infrastructure is rapidly scalable, secure, and accessible over the Internet—you pay only for what you use. So, enterprises worldwide, big and small, are moving toward cloud-computing solutions for meeting their computing needs, including the use of Infrastructure as a Service (IaaS) and Platform as a Service (PaaS). We have also seen a fundamental shift from shrinkwrapped software to Software as a Service (SaaS) in data centers across the globe. Moreover, providers such as Amazon, Google, and Microsoft have opened their datacenters to third parties by providing low-level services such as storage, computation, and bandwidth. This trend is creating the need for a new kind of enterprise architect, developer, QA, and operational professional—someone who understands and can effectively use cloud-computing technologies and solutions. In this course, we discuss critical cloud topics such as cloud service models (IaaS, PaaS, SaaS); virtualization and how it relates to cloud; elastic computing; cloud storage; cloud networking; cloud databases; cloud security; and architecting, developing, and deploying apps in the cloud. The format of this course will be a mix of lectures, and hands-on demos. Upon completing this course, students will have a deeper understanding of what cloud computing is and the various technologies that make up cloud computing, along with hands-on experience working with a major cloud provider. Prerequisite(s): EN.605.202 Data Structures.</t>
  </si>
  <si>
    <t>EN.605.636</t>
  </si>
  <si>
    <t>Autonomic Computing</t>
  </si>
  <si>
    <t>This course offers a comprehensive introduction to autonomic and self-aware computing, focusing on the self-managing and self-awareness properties of autonomic systems, their architectures, AI/ML/LLM support, and the decision-making processes required to achieve resiliency through continual adaptation. Students will explore the vision of autonomic computing, how it differs from automated and autonomous systems, and the biological inspirations and self-awareness characteristics that define it. The curriculum covers autonomic system architectures including autonomic managers responsible for self-management, alongside AI driven adaptive technologies, negotiation mechanisms, and the traits that make a system truly self-aware. Applications of autonomic computing are examined across domains such as security, resiliency, and cloud computing. Throughout the course, students will complete hands on programming assignments and an ongoing project that adds autonomic capabilities to a virtual IoT device, industrial control system, or another system of their choice, applying the theories and concepts introduced in lecture. Weekly readings and discussions support the learning process, supplemented by biweekly assignments that explore selected topics in greater depth. Students will also be encouraged to submit their project outcomes to a conference for publication.</t>
  </si>
  <si>
    <t>EN.605.641</t>
  </si>
  <si>
    <t>Principles of Database Systems</t>
  </si>
  <si>
    <t>This course examines the underlying concepts and theory of database management systems. Topics include database system architectures, transaction management, data models, query languages, conceptual and logical database design, and physical organization. The entity-relationship (ER) model, using ER diagram (ERD) and Enhanced ERD, as well as relational models, are investigated in detail. Object-oriented databases are introduced along with legacy systems based on the network. Hierarchical models as well as big data and NoSQL are also briefly described. Mappings from the conceptual level to the logical level, integrity constraints, dependencies, and normalization are studied as a basis for formal design. Theoretical languages such as the relational algebra and the relational calculus are described, and high-level languages such as SQL, triggers and Stored Procedures are discussed. An overview of file organization and access methods is provided as a basis for discussion of query optimization and execution. The course also covers the causes of performance problems and how to improve database application performance during database design and implementation. Course prerequisite(s): EN.605.202 Data Structures.</t>
  </si>
  <si>
    <t>EN.605.643</t>
  </si>
  <si>
    <t>Linked Data and the Semantic Web</t>
  </si>
  <si>
    <t>The World Wide Web Consortium (W3C) is endeavoring to create standards and technology that support a distributed “Web of data.” Collectively, these advances allow the systems we develop to work and interact more effectively, through the use of XML-based languages, and information on how various tags relate to real-world objects and concepts. This course covers a range of Semantic Web technologies, including RDF (Resource Description Framework - a model for data interchange) and OWL (Web Ontology Language), as well as domain-specific standards and ontologies (formal specifications of how to represent objects and concepts). Representative applications of RDF, OWL, and ontologies to various problems will be discussed. Students will apply course concepts to an in-depth project in an area of personal or professional interest. Prerequisite(s): EN.605.202 Data Structures. Course Note(s): This course may be counted toward a three course track in Bioinformatics.</t>
  </si>
  <si>
    <t>EN.605.644</t>
  </si>
  <si>
    <t>XML Design Paradigms</t>
  </si>
  <si>
    <t>The course explores understanding the tradeoffs among XML grammars and XML techniques to solve different classes of problems. Topics include optimization of XML grammars for different XML technologies; benefits of using different XML schema languages; tradeoffs in using different parsing approaches; benefits of parsing technology vs. XML query; the role of Web 2.0 to deliver functionality through various web services approaches; exploiting XML to drive audio, visual, and tactile displays; the role of XML in multiplying the power of standard web browser technologies; and the role of Web 3.0 to deliver Semantic Web functionality. XML technologies that will be covered include XML Schema, XPath, XSLT, SAX, DOM, XQuery, SOAP, WSDL, JAX-B, JAX-WS, REST, RDF, and OWL.</t>
  </si>
  <si>
    <t>EN.605.645</t>
  </si>
  <si>
    <t>Artificial Intelligence</t>
  </si>
  <si>
    <t>This is a foundational course in Artificial Intelligence. Although we hear a lot about machine learning, artificial intelligence is a much broader field with many different aspects. In this course, we focus on three of those aspects: reasoning, optimization, and pattern recognition. Traditionally, the first was covered under “Symbolic AI” or “Good Old Fashioned AI” and the latter two were covered under “Numeric AI” (or more specifically, “Connectionist AI” or “Machine Learning”). However, despite the many successes of machine learning algorithms, practitioners are increasingly realizing that complicated AI systems need algorithms from all three aspects. This approach falls under the ironic heading “Hybrid AI”. In this course, the foundational algorithms of AI are presented in an integrated fashion emphasizing Hybrid AI. The topics covered include state space search, local search, example based learning, model evaluation, adversarial search, constraint satisfaction problems, logic and reasoning, expert systems, rule based ML, Bayesian networks, planning, reinforcement learning, regression, logistic regression, and artificial neural networks (multi-layer perceptrons). The assignments weigh conceptual (assessments) and practical (implementations) understanding equally.</t>
  </si>
  <si>
    <t>EN.605.646</t>
  </si>
  <si>
    <t>Natural Language Processing</t>
  </si>
  <si>
    <t>This course surveys the principal difficulties of working with written language data, the fundamental techniques that are used in processing natural language, and the core applications of NLP technology. Topics covered in the course include language modeling, text classification, labeling sequential data (tagging), parsing, information extraction, question answering, machine translation, and semantics. The dominant paradigm in contemporary NLP uses supervised machine learning to train models based on either probability theory or deep neural networks. Both formalisms will be covered. A practical approach is emphasized in the course, and students will write programs and use open source toolkits to solve a variety of problems. Course prerequisite(s): There are no formal prerequisite courses, although having taken any of EN.605.649 Introduction to Machine Learning, EN.605.744 Information Retrieval, or EN.605.645 Artificial Intelligence is helpful. Course note(s): A working knowledge of Python is assumed. While some of the assigned exercises can be done in any programming language, we will sometimes provide example code in Python, and many of the labs are best solved in Python.Course note(s): A working knowledge of Python is assumed. While some of the assigned exercises can be done in any programming language, we will sometimes provide example code in Python, and many of the labs are best solved in Python.</t>
  </si>
  <si>
    <t>EN.605.647</t>
  </si>
  <si>
    <t>Neural Networks</t>
  </si>
  <si>
    <t>This course provides an introduction to concepts in neural networks and connectionist models. Topics include parallel distributed processing, learning algorithms, and applications. Specific networks discussed include Hopfield networks, bidirectional associative memories, perceptrons, feedforward networks with back propagation, and competitive learning networks, including self-organizing and Grossberg networks. Software for some networks is provided. Prerequisite(s): Multivariate calculus and linear algebra.</t>
  </si>
  <si>
    <t>EN.605.649</t>
  </si>
  <si>
    <t>Principles and Methods in Machine Learning</t>
  </si>
  <si>
    <t>Analyzing large data sets (“Big Data”), is an increasingly important skill set. One of the disciplines being relied upon for such analysis is machine learning. In this course, we will approach machine learning from a practitioner’s perspective. We will examine the issues that impact our ability to learn good models (e.g., inductive bias, the curse of dimensionality, the bias-variance dilemma, and no free lunch). We will then examine a variety of approaches to learning models, covering the spectrum from unsupervised to supervised learning, as well as parametric versus non-parametric methods. Students will explore and implement several learning algorithms, including logistic regression, nearest neighbor, decision trees, and feed-forward neural networks, and will incorporate strategies for addressing the issues impacting performance (e.g., regularization, clustering, and dimensionality reduction). In addition, students will engage in online discussions, focusing on the key questions in developing learning systems. At the end of this course, students will be able to implement and apply a variety of machine learning methods to real-world problems, as well as be able to assess the performance of these algorithms on different types of data sets. Prerequisite(s): EN.605.202 – Data Structures or equivalent.</t>
  </si>
  <si>
    <t>EN.605.651</t>
  </si>
  <si>
    <t>Principles of Bioinformatics</t>
  </si>
  <si>
    <t>This course is an interdisciplinary introduction to computational methods used to solve important problems in DNA and protein sequence analysis. The course focuses on algorithms but includes material to provide the necessary biological background for science and engineering students. Algorithms to be covered include dynamic programming for sequence alignment, such as Smith-Waterman, FASTA, and BLAST; hidden Markov models, such as the forward, Viterbi, and expectation maximization algorithms; a range of gene-finding algorithms; phylogenic tree construction; and clustering algorithms. Prerequisite(s): Familiarity with probability and statistics; working knowledge of Java, C++, C, Perl, MATLAB or Python; EN.605.205 Molecular Biology for Computer Scientists or a course in molecular biology; and a course in either cell biology or biochemistry.</t>
  </si>
  <si>
    <t>EN.605.652</t>
  </si>
  <si>
    <t>Biological Databases and Database Tools</t>
  </si>
  <si>
    <t>The sequencing of thousands of genomes, including those related to disease states, interest in proteomics, epigenetics, and variation resulted in an explosive growth in the number of biological databases, as well as the need to develop new databases to handle the diverse content being generated. This course focuses on the design of biological databases and examines issues such as those related to data modeling, heterogeneity, interoperability, evidence, and tool integration. It also surveys a wide range of biological databases and their access tools and enables students to develop proficiency in their use. Databases introduced include genome and sequence databases such as GenBank and Ensembl, as well as protein databases such as PDB and UniProt. Databases related to RNA, sequence variation, pathways and interactions, metagenomics, and epigenomics are also presented. Tools for accessing and manipulating data from databases such as BLAST, genome browsers, multiple sequence alignment, gene finding, and protein tools are reviewed. The programming language Perl is introduced, along with the use of Perl in obtaining data via web services and in storing data in an SQLite database. Students will use Perl (Python may be used for some homework), biological databases, and database tools to complete homework assignments. Students will also design a database and will write code in the language of their choice to create their own database as a course project. Note for AAP students: this is a programming class. Students new to programming may find this course challenging and time consuming.</t>
  </si>
  <si>
    <t>EN.605.653</t>
  </si>
  <si>
    <t>Computational Genomics</t>
  </si>
  <si>
    <t>This course focuses on current problems of computational genomics. Students will explore bioinformatics software, discuss bioinformatics research, and learn the principles underlying a variety of bioinformatics algorithms. The emphasis is on algorithms that use probabilistic and statistical approaches. Topics include analyzing eukaryotic, bacterial, and viral genes and genomes, genome sequencing and assembling, finding genes in genomes and identifying their biological functions, predicting regulatory sites, and assessing gene and genome evolution. Prerequisite(s): EN.605.205 Molecular Biology for Computer Scientists or equivalent and familiarity with probability and statistics.</t>
  </si>
  <si>
    <t>EN.605.656</t>
  </si>
  <si>
    <t>Computational Drug Discovery,Dev</t>
  </si>
  <si>
    <t>Recent advances in bioinformatics and drug discovery platforms have brought us significantly closer to the realization of rational drug design and development. Across the pharmaceutical industry, considerable effort is being invested in developing experimental and translational medicine, and it is starting to make a significant impact on the drug discovery process itself. This course examines the major steps of the evolving modern drug discovery platforms, the computational techniques and tools used during each step of rational drug discovery, and how these techniques facilitate the integration of experimental and translation medicine with the discovery/development platforms. The course will build on concepts from a number of areas including bioinformatics, computational genomic/ proteomics, in-silico system biology, computational medicinal chemistry, and pharmaceutical biotechnology. Topics covered in the course include comparative pharmacogenomics, protein/ antibody modeling, interaction and regulatory networks, QSAR/ pharmacophores, ADME/toxicology and clinical biomarkers. Relevant mathematical concepts are developed as needed in the course. Prerequisite(s): EN.605.205 Molecular Biology for Computer Scientists or equivalent.</t>
  </si>
  <si>
    <t>EN.605.657</t>
  </si>
  <si>
    <t>Statistics for Bioinformatics</t>
  </si>
  <si>
    <t>This course provides an introduction to the statistical methods commonly used in bioinformatics and biological research. The course briefly reviews basic probability and statistics including events, conditional probabilities, Bayes theorem, random variables, probability distributions, and hypothesis testing and then proceeds to topics more specific to bioinformatics research, including Markov chains, hidden Markov models, Bayesian statistics, and Bayesian networks. Students will learn the principles behind these statistical methods and how they can be applied to analyze biological sequences and data. Prerequisite(s): EN.605.205 Molecular Biology for Computer Scientists or equivalent, and AS.410.645 Biostatistics or another statistics course.</t>
  </si>
  <si>
    <t>EN.605.661</t>
  </si>
  <si>
    <t>Computer Vision</t>
  </si>
  <si>
    <t>This course provides an overview of fundamental methods in computer vision from a computational perspective. Methods studied include: camera systems and their modeling, computation of 3-D geometry from binocular stereo, motion, and photometric stereo, and object recognition, image segmentation, and activity analysis. Elements of machine learning and deep learning are also included. Practical application of these concepts is emphasized through written and programming homework assignments. Students will also have an opportunity to further explore concepts through a semester long project. Prerequisite(s): Intro to Programming, Linear Algebra &amp; Probability/Statistics</t>
  </si>
  <si>
    <t>EN.605.662</t>
  </si>
  <si>
    <t>Data Visualization</t>
  </si>
  <si>
    <t>This course explores the underlying theory and practical concepts in creating visual representations of large amounts of data. It covers the core topics in data visualization: data representation, visualization toolkits, scientific visualization, medical visualization, information visualization, flow visualization, and volume rendering techniques. The related topics of applied human perception and advanced display devices are also introduced. Prerequisite(s): Experience with data collection/analysis in data-intensive fields or background in computer graphics (e.g., EN.605.667 Computer Graphics) is recommended.</t>
  </si>
  <si>
    <t>EN.605.667</t>
  </si>
  <si>
    <t>Computer Graphics</t>
  </si>
  <si>
    <t>This course examines the principles of computer graphics, with a focus on the mathematics and theory behind 2D and 3D graphics rendering. Topics include graphics display devices, graphics primitives, 2D and 3D transformations, viewing and projection, color theory, visible surface detection and hidden surface removal, lighting and shading, and object definition and storage methods. Practical application of these concepts is emphasized through laboratory exercises and code examples. Laboratory exercises use the C++ programming language and OpenGL on a PC. Prerequisite(s): Familiarity with linear algebra.</t>
  </si>
  <si>
    <t>EN.605.668</t>
  </si>
  <si>
    <t>Computer Gaming Engines</t>
  </si>
  <si>
    <t>This course examines the fundamentals of computer game software designed to familiarize the students with a broad understanding of many aspects of computer gaming. The course prioritizes broad coverage over deep coverage. Topics include 2D/3D graphics, input/output, real-time simulations, resource management, vector mathematics, sound, concurrency, and so forth, with an emphasis on cross-platform development. Practical applications of these topics are covered in programming assignments throughout the semester with the goal of developing a simple game of the student’s choice. Programming assignments are done in C or C++ on PC, MacOS, or Linux.</t>
  </si>
  <si>
    <t>EN.605.671</t>
  </si>
  <si>
    <t>Principles of Data Communications Networks</t>
  </si>
  <si>
    <t>This course provides an introduction to the field of data communications and computer networks. It covers the principles of data communications, the fundamentals of signaling, basic transmission concepts, transmission media, circuit control, line sharing techniques, physical and data link layer protocols, error detection and correction, data compression, network security techniques and protocols, common carrier services and data networks, the mathematical techniques used for network design and performance analysis, Ethernet and Wi-Fi local area networks, and the TCP/IP-based Internet. Potential topics include analog and digital signaling; data encoding and modulation; Shannon channel capacity; synchronous and asynchronously transmission; RS232 physical layer interface standards; FDM, TDM, and STDM multiplexing techniques; inverse multiplexing; analog and digital transmission; V series modem standards; PCM encoding and T1 transmission circuits; LRC, VRC, and CRC error detection techniques; Hamming and Viterbi forward error correction techniques; character and bit-oriented protocols, information transparency, and BSC and HDLC data link layer protocols; Huffman, MNP5, and Lempel-Ziv-Welch data compression algorithms; circuit, message, packet, and cell switching techniques; public key and symmetric encryption algorithms, authentication, digital signature, and message digest techniques, secure e-mail, PGP, TLS/SSL, Kerberos, and IPsec security algorithms; reliability, availability, and queuing analysis performance techniques; Ethernet, Fast Ethernet, Gigabit and 10 Gigabit Ethernet LANs; Wi-Fi 4, Wi-Fi 5, Wi-Fi 6, and Wi-Fi 7 LANs; IPv4 and IPv6 network layer protocols, RIP, OSPF, and BGP4 routing protocols; and TCP and UDP transport layer protocols.</t>
  </si>
  <si>
    <t>EN.605.674</t>
  </si>
  <si>
    <t>Network Programming</t>
  </si>
  <si>
    <t>Emphasis is placed on the theory and practice associated with the implementation and use of the most common processto-process communications associated with UNIX. The interprocess communications comprise both local and distributed architectures. The distributed communications protocols include those most widely implemented and used: the worldwide Internet protocol suite [the Transmission Control Protocol/ Internet Protocol (TCP/IP), and the U.S. government-mandated International Organization for Standardization (ISO) protocol suite]. Practical skills are developed, including the ability to implement and configure protocol servers (daemons) and their clients. Students are expected to have working knowledge of UNIX.</t>
  </si>
  <si>
    <t>EN.605.675</t>
  </si>
  <si>
    <t>Protocol Design</t>
  </si>
  <si>
    <t>This course covers the formal design, specification, and validation of computer and network protocols. Design, implementation, and verification of protocols will be illustrated using the latest simulation tools, such as OPNET and NS2. Protocol examples include the latest wired and wireless networks, such as the IEEE 802.X family, as well as protocols in VoIP, Web 2.0, and network security. The course focuses on protocol specification, structured protocol design, protocol models, and protocol validation. Students will gain hands-on experience using simulation tools to design, validate, and assess protocols.</t>
  </si>
  <si>
    <t>EN.605.681</t>
  </si>
  <si>
    <t>Principles of Enterprise Web Development</t>
  </si>
  <si>
    <t>This course examines fundamental aspects of Enterprise Web Development including client, middleware and databases as a foundation for follow on courses. It introduces the student to client side development using HTML 5, CSS and JavaScript. After a brief review of Object Oriented Programming in Java, Swing is used to introduce common user interface design patterns. Network protocols and multithreading concepts using Java transition into server-side technologies like Servlets, JavaserverPages and ReST. Java database development with JDBC and web security are also introduced during the semester. While the class covers development using build tools (Maven), basic IDEs are utilized to facilitate the teaching of concepts and demonstration through examples. Prerequisite(s): EN.605.202 Data Structures.</t>
  </si>
  <si>
    <t>EN.605.682</t>
  </si>
  <si>
    <t>Web Application Development with Java</t>
  </si>
  <si>
    <t>This project-oriented course will enable students to use various techniques for building browser-based applications for dynamically generated websites, e-commerce, web-enabled enterprise computing, and other applications that require web access to server-based resources. Particular attention will be paid to methods for making web-based applications efficient, maintainable, and flexible. The course will use at least two sets of tools: servlets/JSP and a higher-level Java-based framework such as JSF 2.0. Major topics will include handling HTTP request information, generating HTTP response data, tracking sessions, designing custom tag libraries or components, page templating, asynchronously updating pages with Ajax, and separating content from presentation through use of the MVC architecture. Additional topics may include HTML5, database access techniques for web apps, web app security, and dependency injection in web apps (e.g., with the Spring framework). Course Note(s): Formerly 605.682 Web Application Development with Servlets and JavaServer Pages (JSP).</t>
  </si>
  <si>
    <t>EN.605.683</t>
  </si>
  <si>
    <t>Java DevOps: From Tools to Integrated Workflows</t>
  </si>
  <si>
    <t>Java DevOps: From Tools to Integrated Workflows is a hands-on, tool-driven course that guides students through the modern Java software delivery lifecycle, from source code to production-ready systems. Students learn how core product, like Git as an open source distributed version control system and repository, Maven as a build automation tool, and popular Integrated Development Environment tools, are connected with Docker containerization, CI/CD pipelines, and automated testing to form an integrated DevOps workflow. Using a GitLab-based environment, the course emphasizes practical experience with build automation, continuous integration and delivery, and progressively deeper testing strategies (unit, integration, system, and performance). The course addresses quality, security, and operational aspects such as static and dynamic analysis (SAST/DAST), code coverage, profiling, logging, monitoring, and security auditing, emphasizing cross-team collaboration among development, testing, and operations to deliver secure and scalable Java applications.</t>
  </si>
  <si>
    <t>EN.605.686</t>
  </si>
  <si>
    <t>Mobile Application Development for the Android Platform</t>
  </si>
  <si>
    <t>This project-oriented course will investigate application development for the Android mobile platform. We will explore techniques for building well-structured applications, from local and remote data access using databases and REST APIs, through view models that synchronously and asynchronously manage and expose that data, to a Jetpack Compose user interface layer for a simple specification and testing. Assigned projects include demonstrations of full data flow from database to user interface, use of graphics and user-screen interaction, Google Maps, REST API communication and testing. Prerequisites: Strong comfort with Java and its basic APIs. Comfort with concepts such as callbacks, threads, lists, and maps. EN.605.603 Object-Oriented and Functional Programming in Kotlin is recommended but not required. Course Notes: This course is taught using Kotlin, the primary language for Android development (and required for Jetpack Compose). Kotlin knowledge is not required for this course, and its basics will be covered from the assumption that students are very comfortable with Java. Tools for developing and testing Android apps are available free of charge. Note that Android emulators may run slowly on some machines; physical Android devices are strongly recommended, but not required, for this course.</t>
  </si>
  <si>
    <t>EN.605.687</t>
  </si>
  <si>
    <t>Mobile Application Development for the iOS Platform</t>
  </si>
  <si>
    <t>This project-oriented course will investigate application development on iOS platforms. First, we will cover the main language for iOS, Swift, Apple’s in-house, open sourced language for iOS, macOS and watchOS development, along with tools such as Xcode, Instruments, and Swift Playgrounds. Second, we will discuss the aspects of creating an application: the application life cycle, user experience and data presentation, user interface elements (including how to use the SwiftUI framework), and application performance. Then, we will discuss the application frameworks that the iOS SDK provides: CoreData, SpriteKit, MapKit, and Notifications, to name just a few. Finally, we will prepare your app for deployment, considering localization and internationalization, accessibility, and App Store Connect. By the end of the class, students will be able to use Xcode, implement the Model-View-Controller paradigm, use Protocols and Delegates, construct a user interface that operates on many different devices, store and retrieve data on the network, interact with the OS or other applications, distinguish between the various iOS frameworks, and explain the App publication process. Course prerequisite(s): EN.605.201 Introduction to Programming Using Java or equivalent Java or Objective C experience. Course note(s): Access to a Mac running the current version of macOS *IS REQUIRED* for this class. Development tools can be downloaded for free from the Mac App Store. Additional hardware (iPhones, iPods, iPads) is strongly suggested, as several class examples and some projects will work best (or only work) on devices. *THIS REQUIREMENT IS SUBJECT TO CHANGE*</t>
  </si>
  <si>
    <t>EN.605.691</t>
  </si>
  <si>
    <t>Entrepreneurship for Computer Scientists</t>
  </si>
  <si>
    <t>Entrepreneurship is defined as the pursuit of opportunity beyond the resources currently controlled. A successful business venture needs more than just a good idea. This course focuses on providing the student with the knowledge and skills necessary to start, manage and grow a successful business venture. Classes will cover the basics of opportunity identification, prototyping, business models, marketing, business planning, financing, and management. The course is designed to provide students with both the practical and theoretical knowledge to understand and pursue entrepreneurial ideas. Lectures, case studies and readings as well as a practical understanding of real-world situations will help students to develop a business plan, conduct market research, create a marketing campaign, and the ability to pitch their ideas to others. Ultimately the goal of this course is to provide the student with the knowledge and confidence to turn ideas into successful business ventures.</t>
  </si>
  <si>
    <t>EN.605.701</t>
  </si>
  <si>
    <t>Software Systems Engineering</t>
  </si>
  <si>
    <t>Software Systems Engineering applies engineering principles and the system view to the software development process. The course focuses on the engineering of complex systems that have a strong software component. This course is based on the philosophy that the key to engineering a good software system lies just as much in the process that is followed as in the purely technical regime. The course will show how good a software development process is and how to make a software process better by studying successful techniques that have been employed to produce correct software systems within budget. Topics are explored in a sequence designed to reflect the way one would choose to implement process improvements. These topics include steps to initiate process change, methods to establish control over the software process, ways to specify the development process, methods for quantitative process control, and how to focus on problem prevention. Students will prepare term projects. Prerequisite(s): EN.605.202 Data Structures; one software engineering course beyond EN.605.601 Foundations of Software Engineering.</t>
  </si>
  <si>
    <t>EN.605.702</t>
  </si>
  <si>
    <t>Cloud-native Architecture and Microservices</t>
  </si>
  <si>
    <t>Cloud-native architecture is an approach to designing, developing, and deploying applications that leverage the advantages of the cloud computing model. Cloud-native applications are composed of loosely coupled microservices that run in containers, orchestrated by platforms like Kubernetes. This course will introduce the concepts, principles, and practices of cloud-native architecture, microservices, Kubernetes and serverless compute. Students will learn how to design, implement, and deploy cloud-native applications. The course will also cover topics such as observability, security, resilience, scalability, and DevOps.</t>
  </si>
  <si>
    <t>EN.605.704</t>
  </si>
  <si>
    <t>Object-Oriented Analysis and Design</t>
  </si>
  <si>
    <t>This course describes fundamental principles of object-oriented modeling, requirements development, analysis, and design. Topics include specification of software requirements; object-oriented static and dynamic analysis approaches using the Unified Modeling Language (UML); object-oriented design; object-oriented reuse and maintainability, including design patterns; software implementation concerns; state models; persistence; and the Object Constraint Language (OCL). Prerequisite(s): While there are no programming assignments in this course, experience in an object-oriented programming language such as C++ or Java is important.</t>
  </si>
  <si>
    <t>EN.605.705</t>
  </si>
  <si>
    <t>Software Safety</t>
  </si>
  <si>
    <t>This course describes how to develop and use software that is free of imperfections that could cause unsafe conditions in safety-critical systems. Systems engineering and software engineering techniques are described for developing “safeware,” and case studies are presented regarding catastrophic situations that resulted from software and system faults that could have been avoided. Specific techniques of risk analysis, hazard analysis, fault tolerance, and safety tradeoffs within the software engineering paradigm are discussed. Prerequisite(s): EN.605.202 Data Structures.</t>
  </si>
  <si>
    <t>EN.605.707</t>
  </si>
  <si>
    <t>Software Patterns</t>
  </si>
  <si>
    <t>Software patterns encapsulate the knowledge of experienced software professionals in a manner that allows developers to apply that knowledge to similar problems. Patterns for software are analogous to the books of solutions that enable electrical engineers and civil engineers to avoid having to derive every new circuit or bridge design from first principles. This course will introduce the concept of software patterns, and explore the wide variety of patterns that may be applied to the production, analysis, design, implementation, and maintenance of software. The format of the course will emphasize the discussion of patterns and their application. Each student will be expected to lead a discussion and to actively participate in others. Students will also be expected to introduce new patterns or pattern languages through research or developed from their own experience. Programming exercises performed outside of class will be used enhance discussion and illustrate the application of patterns.</t>
  </si>
  <si>
    <t>EN.605.708</t>
  </si>
  <si>
    <t>Tools and Techniques of Software Project Management</t>
  </si>
  <si>
    <t>This course examines tools and techniques used to lead software-intensive programs. Techniques for RFP analysis and proposal development are explored, and techniques of size estimation (function points, feature points, and lines-ofcode estimation) and the use of models such as COCOMO to convert size to effort and schedule are described. In addition, conversion of estimated effort to dollars and the effects of fringe, overhead, skill mix profiles, and staffing profiles on total dollar cost are explained. Moreover, techniques for estimating effort and planning the COTS intensive development programs are described, and tools and techniques for measuring process maturity and process efficiency (e.g., CMMi, Lean, Six Sigma, and Kaizen) are addressed. The course also investigates the formation and management of virtual teams, as well as techniques that can be used to ensure success in this environment. Finally, the course addresses topics that require collaboration between the project manager and human resources, such as personnel retention strategies, managing unsatisfactory performance, and formal mentoring programs. Prerequisite(s): Three to five years technical work experience is recommended.</t>
  </si>
  <si>
    <t>EN.605.713</t>
  </si>
  <si>
    <t>Advanced Robotics</t>
  </si>
  <si>
    <t>This course explores advanced topics in navigation, perception, mapping, and control for mobile robots. Mathematical models of commonly used sensors such as wheel tachometers, accelerometers, gyroscopes, radio frequency transceivers, monocular visual cameras, laser scanners, and LiDAR imagers will be developed. Planar and 3D vehicle motion models will be derived in both deterministic and stochastic settings. Navigation algorithms covered in the course include dead reckoning, beacon localization, beacon simultaneous localization and mapping (SLAM), monocular visual camera based SLAM, and monocular visual camera + inertial sensor based SLAM. A survey of relevant stability/control theory, estimation theory, projective geometry, and image processing algorithms will be provided. Students will be exposed to these topics through course lectures, weekly homework assignments, and a term-long robotics hardware project.</t>
  </si>
  <si>
    <t>EN.605.715</t>
  </si>
  <si>
    <t>Software Development for Real-Time Embedded Systems</t>
  </si>
  <si>
    <t>This course examines the hardware and software technologies behind real-time, embedded computer systems. From smart kitchen appliances to sophisticated flight control for airliners, embedded computers play an important role in our everyday lives. Hardware topics include microcomputers and support devices (e.g., flash, ROM, DMA, timers, clocks, A/D, and D/A), as well as common applications (e.g., servo and stepper motor control, automotive sensors, and voice processing). Software topics focus on unique aspects of embedded programming and include interrupts, real-time control, communication, common design patterns, and special test considerations. The course also explores the unique tools that are used to develop and test embedded systems. Labs, beginning with using Bare Metal and Free RTOS on ESP32-S3 for simple devices and culminating with using Linux on Raspberry-Pi for Quad-Copter flight control, are developed.</t>
  </si>
  <si>
    <t>EN.605.716</t>
  </si>
  <si>
    <t>Modeling and Simulation of Complex Systems</t>
  </si>
  <si>
    <t>This multi-disciplinary course focuses on the application of modeling and simulation principles to complex systems. A complex system is a large-scale nonlinear system consisting of interconnected or interwoven parts (such as a biological organism, an ecological system, the economy, fluids or strongly-coupled solids). The subject is interdisciplinary with foundations in mathematics, nonlinear science, numerical simulations and statistical physics. The course begins with an overview of complex systems, followed by modeling techniques based on nonlinear differential equations, networks, and stochastic models. Simulations are conducted via numerical calculus, analog circuits, Monte Carlo methods, and cellular automata. In the course we will model, program, and analyze a wide variety of complex systems, including dynamical and chaotic systems, cellular automata, and iterated functions. By defining and iterating an individual course project throughout the term, students will gain hands-on experience and understanding of complex systems that arise from combinations of elementary rules. Students will be able to define, solve, and plot systems of linear and non-linear systems of differential equations and model various complex systems important in applications of population biology, epidemiology, circuit theory, fluid mechanics, and statistical physics.Course prerequisite(s): Knowledge of elementary probability and statistics and previous exposure to differential equations. Students applying this course to the MS in Bioinformatics should also have completed at least one Bioinformatics course prior to enrollment.Course note(s): This course may be counted toward a three-course concentration in Bioinformatics.</t>
  </si>
  <si>
    <t>EN.605.721</t>
  </si>
  <si>
    <t>Design and Analysis of Algorithms</t>
  </si>
  <si>
    <t>In this follow-on course to EN.605.621 Foundations of Algorithms, design paradigms are explored in greater depth, and more advanced techniques for solving computational problems are presented. Topics include randomized algorithms, adaptive algorithms (genetic, neural networks, simulated annealing), approximate algorithms, advanced data structures, online algorithms, computational complexity classes and intractability, formal proofs of correctness, sorting networks, and parallel algorithms. Students will read research papers in the field of algorithms and will investigate the practicality and implementation issues with state-of-the-art solutions to algorithmic problems. Grading is based on problem sets, programming projects, and in-class presentations.Prerequisite(s): EN.605.621 Foundations of Algorithms or equivalent; EN.605.203 Discrete Mathematics or equivalent.</t>
  </si>
  <si>
    <t>EN.605.724</t>
  </si>
  <si>
    <t>Applied Game Theory</t>
  </si>
  <si>
    <t>In many organizations in the private and the public sectors, there is a need to support complex decisions that include a game-theoretic aspect. These decisions impact activities ranging from tactical to strategic, and play out in a number of problems, including monitoring and management of ongoing operations, the dynamics of organizational relationships in the competitive environment, and military force planning. This course extends treatment of game theoretic concepts and constructs, and explores their implementation and application, highlighting key issues such as decision space exploration and analysis, visualization, and the creation and use of models for specific domains. Students will have the opportunity to design a course project based on their area of professional or personal interest.</t>
  </si>
  <si>
    <t>EN.605.727</t>
  </si>
  <si>
    <t>Computational Geometry</t>
  </si>
  <si>
    <t>This course covers fundamental algorithms for efficiently solving geometric problems, especially ones involving 2D polygons and 3D polyhedrons. Topics include elementary geometric operations; polygon visibility, triangulation, and partitioning; computing convex hulls; proximity searching, Voronoi diagrams, and Delaunay triangulations with applications; special polygon and polyhedron algorithms such as point containment and extreme point determination; point location in a planar graph subdivision; dimension reduction in data; and robot motion planning around polygon obstacles. Applications to such areas as computer graphics, big data analytics and pattern recognition, geometric databases, numerical taxonomy, and robotics will be addressed. The course covers theory to the extent that it aids in understanding how the algorithms work. Emphasis is placed on algorithm design and implementation. Programming projects are an important part of the coursework. Prerequisite(s): Foundations of algorithms. Some familiarity with linear algebra.</t>
  </si>
  <si>
    <t>EN.605.728</t>
  </si>
  <si>
    <t>Quantum Computation</t>
  </si>
  <si>
    <t>Quantum computing is no longer a purely theoretical notion. The NSA and NIST are preparing to transition to quantum resistant cryptography. We have now entered the intermediate-scale quantum era, with near-term applications such as quantum machine learning being explored. Scalable quantum computers aren't here yet, but ongoing developments suggest they are on their way. This course provides an introduction to quantum computation for computer scientists: the focus is on algorithms rather than physical devices, and familiarity with quantum mechanics (or any physics at all) is not a prerequisite. Instead, pertinent aspects of the quantum mechanics formalism are developed as needed in class. The course begins with an introduction to the QM formalism. It then develops the abstract model of a quantum computer, and discusses how quantum algorithms enable us to achieve, for some problems, a significant speedup (in some cases an exponential speedup) over any known classical algorithm. This discussion provides the basis for a detailed examination of quantum integer factoring, quantum search, and other quantum algorithms. The course also explores quantum error correction, quantum teleportation, and quantum cryptography. It concludes with a glimpse at what the cryptographic landscape will look like in a world with quantum computers. Required work includes problem sets and a research project. Prerequisites: Some familiarity with linear algebra and with the design and analysis of algorithms or instructor permission.</t>
  </si>
  <si>
    <t>EN.605.729</t>
  </si>
  <si>
    <t>Formal Methods</t>
  </si>
  <si>
    <t>All science requires mathematics. Formal methods used in developing computer systems are mathematically based techniques for describing system properties. These formal methods then can provide frameworks within which developers can specify, develop, verify, and prove systems in a systematic, rather than ad hoc manner. According to some researchers, the application of formal specification and verification methods could avoid disasters such as Heartbleed bug, Ariane 5 rocket explosion, and Therac-25 radiation therapy machine harms. This course is an introduction to the vast world of formal methods. The course starts with review of propositional logic, predicate logic, and covers set theoretic specification methods via Z, temporal specification via PTL, grammars, and logic based methods via Caml and Coq proof assistant. Each student will carry out an investigation of an existing formal verification system, applying it to a suitable problem of the student's choice. Among possible projects will be the formal verification of problem solutions such as designing a semaphore, designing a machine learning algorithm, a web interface, a test suite, a sophisticated data structure, or a theorem.</t>
  </si>
  <si>
    <t>EN.605.731</t>
  </si>
  <si>
    <t>Survey of Cloud Computing Security</t>
  </si>
  <si>
    <t>The promise of significant cost savings and inherent flexibility of resources are an impetus for the adoption of cloud computing by many organizations. Cloud computing also introduces privacy and security risks that are not traditionally present in a siloed data center. This course focuses on these security concerns and countermeasures for a cloud environment. An overview of cloud computing and virtualization, the critical technology underpinning cloud computing, provides the necessary background for these threats. Additional topics vary but may include access control, identity management, denial of service, account and service hijacking, secure APIs, malware, forensics, regulatory compliance, trustworthy computing, and secure computing in the cloud. This course follows a seminar-style format where students are expected to lead class discussions and write a publication-quality paper as part of a course project.</t>
  </si>
  <si>
    <t>EN.605.734</t>
  </si>
  <si>
    <t>Human-in-the-Loop AI: Crowdsourcing, LLMs, and Evaluation</t>
  </si>
  <si>
    <t>Human-in-the-Loop AI: Crowdsourcing, LLMs, and Evaluation explores how modern AI systems are built, improved, and audited through the combined strengths of people and machines. As large language models reshape the way organizations collect data, make decisions, and deploy intelligent systems, this course examines when human judgment still matters, when AI can automate complex tasks, and when hybrid human-AI workflows produce the best results. Students will study crowdsourcing, task and prompt design, data quality, inter-annotator agreement, evaluation methods, and bias in both human- and AI-generated outputs. Through hands-on assignments and applied projects, students will compare crowd workers, LLMs, and human-AI pipelines on realistic problems in classification, annotation, conversational systems, and responsible AI evaluation. The course emphasizes practical skills in designing reliable workflows, measuring quality, and identifying failure modes in intelligent systems. By the end of the course, students will be able to build and assess human-in-the-loop AI systems that are effective, scalable, and trustworthy.</t>
  </si>
  <si>
    <t>EN.605.740</t>
  </si>
  <si>
    <t>Machine Learning: Deep Learning</t>
  </si>
  <si>
    <t>Deep learning (DL) has emerged as a powerful tool for solving data-intensive learning problems such as supervised learning for classification or regression, dimensionality reduction, and control. As such, it has a broad range of applications including language processing, computer vision, medical imaging, and perception-based robotics. The goal of this course is to directly apply fundamental concepts of DL to current research problems. Students will apply theoretical underpinnings of machine learning, commonly used architectures for DL, current challenges including ethics and fairness, and specialized applications with a particular focus on computer vision. Students will complete several DL projects using standardized data sets in addition to a small-team research project on topics of their own interest. Recommended prior classes: A neural network OR machine learning course: Examples: EN.605.647 , EN.625.638 , EN.525.670 , EN.605.649 , EN.705.601 , EN.605.646 , or others as approved by the instructor. A working knowledge of Python is assumed. Prior coding experience data munging, ML, and visualization libraries is highly recommended: Example: Python, Numpy, Pandas, ScikitLearn, Matplotlib, etc.</t>
  </si>
  <si>
    <t>EN.605.741</t>
  </si>
  <si>
    <t>Large-Scale Database Systems</t>
  </si>
  <si>
    <t>This course investigates the theory and practice of modern large-scale database systems. Large-scale approaches include distributed relational databases; data warehouses; and non-relational databases including HDFS, Hadoop, Accumulo for query and graph algorithms, and Mahout bound to Spark for machine learning algorithms. Topics discussed include data design and architecture; database security, integrity, query processing, query optimization, transaction management, concurrency control, and fault tolerance; and query formulation, graph algorithms, and machine learning algorithms on large-scale distributed data systems. At the end of the course, students will understand the principles of several common large-scale data systems including their architectures, performance, and costs. Students will also gain a sense of which approach is recommended for different requirements and circumstances.</t>
  </si>
  <si>
    <t>EN.605.742</t>
  </si>
  <si>
    <t>Deep Neural Networks</t>
  </si>
  <si>
    <t>This hands-on course provides a practical introduction to deep neural networks (DNNs), designed to deepen students’ understanding of advanced deep learning (DL) techniques. Modeled after the brain’s architecture, DNNs drive powerful applications in natural language processing (NLP), computer vision (CV), and speech processing—especially with unstructured data like text, images, video, and audio.The course begins with a four-week refresher on machine learning (ML), focusing on model evaluation and feature engineering using Python and Scikit-Learn (SKL). Prior experience with Python and SKL-based ML models is expected. From there, we transition to TensorFlow and Keras, exploring key DNN architectures including convolutional neural networks (CNNs), recurrent neural networks (RNNs), long short-term memory (LSTM), attention mechanisms, generative adversarial networks (GANs), deep reinforcement learning (DRL), transfer learning, and more. Students will read seminal DL papers and collaborate in teams on weekly Kaggle challenges to apply their skills. Teamwork is central to the course, which concludes with a final presentation based on a public ML/DL competition.</t>
  </si>
  <si>
    <t>EN.605.743</t>
  </si>
  <si>
    <t>Advanced Artificial Intelligence</t>
  </si>
  <si>
    <t>Many advanced artificial intelligence systems are using both Machine Learning and Symbolic AI to solve subproblems. This course builds on the foundations of EN.605.645 Artificial Intelligence by delving more deeply into those AI algorithms and approaches that go under the name of Good Old Fashioned AI or Symbolic AI. In this course, we will cover logic programming, expert systems and business rules, fuzzy logic, case based reasoning, and knowledge graphs. We will also explore more advanced versions of planning and reinforcement learning algorithms. The instructor may add additional topics as warranted. Prerequisite(s): EN.605.645 Artificial Intelligence or permission of instructor.</t>
  </si>
  <si>
    <t>EN.605.744</t>
  </si>
  <si>
    <t>Information Retrieval</t>
  </si>
  <si>
    <t>A multibillion-dollar industry has grown to address the problem of finding information. Commercial search engines are based on information retrieval: the efficient storage, organization, and retrieval of text. This course covers both the theory and practice of text retrieval technology. Topics include automatic index construction, formal models of retrieval, Internet search, text classification, multilingual retrieval, question answering, and related topics in NLP and computational linguistics. A practical approach is emphasized and students will complete several programming projects to implement components of a retrieval engine. Students will also give a class presentation based on an independent project or a research topic from the IR literature. Prerequisite(s): EN.605.202 Data Structures or permission of the instructor</t>
  </si>
  <si>
    <t>EN.605.745</t>
  </si>
  <si>
    <t>Reasoning Under Uncertainty</t>
  </si>
  <si>
    <t>This course is concerned with the problems of inference and decision making under uncertainty. It develops the theoretical basis for a number of different approaches and explores sample applications. The course discusses foundational issues in probability and statistics, including the meaning of probability statement, and the necessity of a rational agent acting in accord with probability theory. We will look at possible generalizations of Bayesian probability, including Dempster-Shafer theory. Next, we will develop algorithms for Bayesian networks—graphical probabilistic models—for exact and approximate inference and consider several application areas. Finally, the course will examine the problem of making optimal decisions under uncertainty. We will explore the conceptual foundations of decision theory and then consider influence diagrams, which are graphical models extending Bayesian networks to the domain of decision analysis. As time permits, we will also look at Bayesian games and Markov decision processes. Pertinent background in probability and theoretical computer science is developed as needed in the course.</t>
  </si>
  <si>
    <t>EN.605.746</t>
  </si>
  <si>
    <t>Advanced Machine Learning</t>
  </si>
  <si>
    <t>This course focuses on recent advances in machine learning and on developing skills for performing research to advance the state of knowledge in machine learning. The material integrates multiple ideas from basic machine learning and assumes familiarity with concepts such as inductive bias, the bias-variance trade-off, the curse of dimensionality, and no free lunch. Topics range from determining appropriate data representations and models for learning, understanding different algorithms for knowledge and model discovery, and using sound theoretical and experimental techniques in assessing learning performance. Specific approaches discussed cover nonparametric and parametric learning; supervised, unsupervised, and semi-supervised learning; graphical models; ensemble methods; and reinforcement learning. Topics will be discussed in the context of research reported in the literature within the previous two years. Students will participate in seminar discussions and will present the results of a semester-long research project of their own choosing.</t>
  </si>
  <si>
    <t>EN.605.747</t>
  </si>
  <si>
    <t>Evolutionary and Swarm Intelligence</t>
  </si>
  <si>
    <t>Recently, principles from the biological sciences have motivated the study of alternative computational models and meta-heuristic approaches to problem solving. Proceeding from a machine learning perspective, this course explores how principles from theories of evolution, natural selection, and swarming behavior can be used to construct machines that exhibit nontrivial behavior. In particular, the course covers techniques from evolutionary computation and swarm intelligence for developing software agents capable of solving problems as members of a larger population of agents. Specific topics addressed include representation and schemata; selection, reproduction, and recombination; theoretical models of computational intelligence; optimal allocation of trials (i.e., bandit problems); search, optimization, and machine learning; evolution of programs; population and swarm dynamics; and emergent behavior. Students will participate in seminar discussions and will complete and present the results of an individual project.</t>
  </si>
  <si>
    <t>EN.605.748</t>
  </si>
  <si>
    <t>AI and Database Systems</t>
  </si>
  <si>
    <t>EN.605.751</t>
  </si>
  <si>
    <t>Algorithms for Structural Bioinformatics</t>
  </si>
  <si>
    <t>This course is an interdisciplinary approach to the concepts, principals, computational methods and algorithms used in structural bioinformatics. It focuses on the fundamental aspects of structural biology along with computational methods and algorithms for studying protein folding, structure prediction and analysis. Algorithms for the prediction and annotation of protein secondary and tertiary structure and for structurestructure comparison will be studied in depth. We will also show how such algorithms and methods can be adapted for use with nucleic acids structure prediction and analysis. Students will apply various software tools and structure-visualization software to protein structure prediction and structurestructure comparison.</t>
  </si>
  <si>
    <t>EN.605.755</t>
  </si>
  <si>
    <t>Systems Biology</t>
  </si>
  <si>
    <t>Systems biology is the study of complex biological systems using theoretical, mathematical, and computational tools and concepts. The advent of genomics, big data, and highpowered computing is allowing better understanding and elucidation of these systems. Central to systems biology is the development of computational models, based on sound statistics, which incorporate biological structures and networks, and can be informed and tested, with data on multiple scales. In this class, students will learn to develop and use different types of models of complex biological systems and how to test and perturb them. Students will learn basic biological system components and dynamics, as well as the data formats, sources, and modeling tools required to interrogate them. Tools will be used relating to functional genomics, evolution, biochemical systems, and cell biology. Students will utilize a model they have developed and available data from public repositories to investigate both a discovery-based project and a hypothesis based project. Prerequisite(s): Courses in molecular biology ( EN.605.205 Molecular Biology for Computer Scientists or AS.410.602 Molecular Biology) and differential equations.Prerequisite(s): Courses in molecular biology ( EN.605.205 Molecular Biology for Computer Scientists or AS.410.602 Molecular Biology) and differential equations.</t>
  </si>
  <si>
    <t>EN.605.759</t>
  </si>
  <si>
    <t>Independent Project in Bioinformatics</t>
  </si>
  <si>
    <t>This course is for students who would like to carry out a significant project in bioinformatics as part of their graduate program. The course may be used to conduct minor research, an in-depth literature survey, or a software implementation related to recent developments in the field. Students who enroll in this course are encouraged to attend at least one industry conference in bioinformatics related to their area of study. To enroll in this course, the student must be within two courses of degree completion and must obtain the approval and support of a sponsoring faculty member. Course Note(s): A student may not receive credit for both EN.605.759 and EN.605.802 Independent Study in Computer Science II.</t>
  </si>
  <si>
    <t>EN.605.767</t>
  </si>
  <si>
    <t>Applied Computer Graphics</t>
  </si>
  <si>
    <t>This course examines advanced rendering topics in computer graphics. The course focuses on the mathematics and theory behind 3D graphics rendering. Topics include 3D surface representations including fractal geometry methods; visible surface detection and hidden surface removal; and surface rendering methods with discussion of lighting models, color theory, texturing, and ray tracing. Laboratory exercises provide practical application of these concepts. The course also includes a survey of graphics rendering applications (animation, modeling and simulation, and realistic rendering) and software. Students perform laboratory exercises using the C++ programming language.</t>
  </si>
  <si>
    <t>EN.605.768</t>
  </si>
  <si>
    <t>Advanced Game Design and Development Engines</t>
  </si>
  <si>
    <t>This course resides where Computer Science meets fundamental game, visualization, and design theories. The course develops the practice of digital games related to the latest engines for research and development. These systems have evolved into more large-scale, online multi-player interactive game environments. With advanced game engines that offer more rapid prototyping, the course focuses on a combination of theoretical research tied to applied design and engine development. Students will study topics that include: 1.) Game design concepts of goals, themes, storyboarding, and levels, 2.) Visualization methods with 3D objects and scenes, art concepts, and styles, and 3.) Game engine element subtopics of history, genres, mechanics, gameplay, types of development engines, and Artificial Intelligence (AI). Through lectures, example real-world games, case studies of game engines used for recreation, educational, and simulation systems, hands-on exercises, and independent research opportunities, students will be given the resources to understand design concepts and how to develop games with the latest engines such as Unreal and Unity. Working knowledge of C++ or C# is required.</t>
  </si>
  <si>
    <t>EN.605.771</t>
  </si>
  <si>
    <t>Wired and Wireless Local and Metropolitan Area Networks</t>
  </si>
  <si>
    <t>This course provides a detailed examination of wired and wireless local and metropolitan area network technologies, protocols, and the methods used for implementing LAN- and MAN-based enterprise intranets. The structure and operation of the IEEE 802 media access control (MAC) and physical layer protocols are examined in detail. The 802.2 logical link control, 802.3/Ethernet, 802.4 token bus, and 802.5 token ring protocols are analyzed, and the construction of LAN-based enterprise intranets is examined through a detailed analysis of bridging, routing, and switching techniques. High-speed wired LAN and MAN protocols are discussed. The wireless 802.11 Wi-Fi LAN standards are analyzed. The wireless 802.15.1 and the 802.15.4 PAN standards are discussed in detail. Finally, the wireless 802.16 MAN and the 802.11s mesh standards are examined. Topics include Manchester and Differential Manchester encoding techniques; bus, star, and ring topologies; optical fiber, coaxial cable, and UTP media; baseband, broadband, and carrierband bus networks; hubs, switched LANs, and full duplex LANs; CSMA/CD and CSMA/CA media access techniques; transparent and source routing bridges, BPDUs, spanning tree protocol, RSTP, and MSTP protocols; VLANs, QinQ, and VXLANs; Fast Ethernet, 100VG AnyLAN, Gigabit Ethernet, 10-Gigabit Ethernet, 40-100 Gigabit Ethernet, and 200/400 Gigabit Ethernet; Link Aggregation; 802.6 DQDB and 802.17 Resilient Packet Ring MANs; Wi-Fi 4, Wi-Fi 5, Wi-Fi 6, and Wi-Fi 7; Bluetooth and ZigBee PANs, Wi-Fi and Bluetooth security; OFDMA and MIMO multi-access schemes; WiMAX and 802.11s networks; and mesh path discovery.</t>
  </si>
  <si>
    <t>EN.605.776</t>
  </si>
  <si>
    <t>Fourth Generation Wireless Communications: WiMAX and LTE</t>
  </si>
  <si>
    <t>This course compares the WiMAX and LTE fourth-generation (4G) technologies and their performance. An overview of the IEEE 802.16 standards (802.16d/e/j/m/n/p) and WiMAX Forum (Fixed WiMAX vs. Mobile WiMAX, Interoperability certification and Core network) is presented along with the 3GPP standards for LTE and LTE-Advanced as well as LTE network architecture. For WiMAX, the MAC, call flow, 2D resource map, QoS, and scheduling are presented. For LTE, both control plane and data plane protocols for Evolved UMTS Terrestrial Radio Access Network (E-UTRAN) and Evolved Packet Core (EPC) are presented. The topics include protocol architecture, bearer management, signaling, radio resource control (RRC), packet data convergence protocol (PDCP), radio link control (RLC), and MAC. In addition, the role of universal subscriber identity module (USIM), eNodeB, mobility management entity (MME), serving gateway (S-GW), packet data network gateway (P-GW), and home subscription server (HSS) as well as the call flow across these various nodes will be presented. The 2D resource grid along with QoS and scheduling will be explained in detail. The voice over LTE (VoLTE), self-organizing network (SON), LTE-direct, and LTE-Advanced [including coordinated multipoint (CoMP), carrier aggregation, and Intercell interference coordination (ICIC)] will be presented. Finally, spectrum considerations as well as the concept of white space and dynamic spectrum access (DSA) will be discussed. LTE security will be discussed in detail. The course will also highlight some of the Open Source LTE projects, and will discuss the experimental results from various testbeds.</t>
  </si>
  <si>
    <t>EN.605.779</t>
  </si>
  <si>
    <t>Network Design and Performance Analysis</t>
  </si>
  <si>
    <t>Networking services are a staple of our daily life. Different types of networks surround us all day long. This ubiquitous networking, thanks to smartphones and tablet computers, gives us the convenience of information at our fingertips. The right network architecture provides the fundamental support for network services, such as the products from Facebook, Google, Apple, etc. This course covers the details of network design and the design process. Starting from requirement specifications, a detail flow analysis is introduced. Examples of different network architecture designs, both in wireline and wireless, will be discussed, including mobile Ad Hoc network (MANET), mesh network, 4G cellular networks, wide area network (WAN), cloud networks, and advanced software define networking (SDN). Performance analyses and network security aspects are considered at every step of the design. Secured architecture covers Virtual Private Network (VPN) and Transport Layer Security (TLS)-based systems, with details on firewall and intrusion detection configurations. The course encourages hands-on projects selected from real network system problems.</t>
  </si>
  <si>
    <t>EN.605.784</t>
  </si>
  <si>
    <t>Enterprise Computing with Java</t>
  </si>
  <si>
    <t>This comprehensive course explores core application aspects for developing, configuring, securing, deploying, and testing a Java-based service using a layered set of modern frameworks and libraries that can be used to develop full services. Students will learn thru lecture, examples, and hands-on experience to build multi-tier enterprise services using a configurable set of server-side technologies.The course will specifically cover designing and building components, a data tier, synchronous and asynchronous server-side logic, and integration with the web.The student will also learn to secure the application and tackle various build, testing, and development issues. Specific framework and specification emphasis (e.g., Jakarta EE, Spring, Spring Boot) for designing and developing server-side components will vary per section.</t>
  </si>
  <si>
    <t>EN.605.786</t>
  </si>
  <si>
    <t>Enterprise System Design and Implementation</t>
  </si>
  <si>
    <t>This course explores enterprise architectures for the development of scalable distributed systems. Effective patterns for distributed data access, MVC-based web tiers, and business logic components are explored as students build complex applications. Factors such as caching and clustering that enable distributed systems to scale to handle potentially thousands of users are a primary focus. In addition, creating a reusable blueprint for an enterprise architecture will be discussed. Applications developed utilizing these concepts are selected from current research topics in information retrieval, data visualization, and machine learning.</t>
  </si>
  <si>
    <t>EN.605.787</t>
  </si>
  <si>
    <t>Front End Web App Development</t>
  </si>
  <si>
    <t>In this course, we build a real web application for a real client. We will go on a field trip to a selected business with a poor website and you get to see the client interview with identifying components of what you need to get out of that interview. We then go through the mockup process and then code the whole site from scratch, utilizing all the concepts we learn in the course. You will learn to create your own responsive design framework, and write your own media queries. In terms of technologies, we cover CSS in depth, including style conflict resolution, selectors types and how they work together, etc.; Twitter Bootstrap Framework (possibly), including the grid system; dive deep into Javascript, including Javascript DOM manipulation; utilize “raw” Ajax without any libraries to help us; and possibly touch on jQuery. We then take a deep dive into a Javascript framework, concentrating on concepts that are prevalent in a lot of modern front end frameworks. Prerequisite(s): Strong/mature programming skills in any programming language.</t>
  </si>
  <si>
    <t>EN.605.788</t>
  </si>
  <si>
    <t>Big Data Processing Using Hadoop</t>
  </si>
  <si>
    <t>Organizations today are generating massive amounts of data that are too large and too unwieldy to fit in relational databases. Therefore, organizations and enterprises are turning to massively parallel computing solutions such as Hadoop for help. The Apache Hadoop platform, with Hadoop Distributed File System (HDFS) and MapReduce (M/R) framework at its core, allows for distributed processing of large data sets across clusters of computers using the map and reduce programming model. It is designed to scale up from a single server to thousands of machines, offering local computation and storage. The Hadoop ecosystem is sizable in nature and includes many subprojects such as Hive and Pig for big data analytics, HBase for real-time access to big data, Zookeeper for distributed transaction process management, and Oozie for workflow. This course breaks down the walls of complexity of distributed processing of big data by providing a practical approach to developing applications on top of the Hadoop platform. By completing this course, students will gain an in-depth understanding of how MapReduce and Distributed File Systems work. In addition, they will be able to author Hadoop-based MapReduce applications in Java and also leverage Hadoop subprojects to build powerful data processing applications. Course Note(s): This course may be counted toward a threecourse track in Data Science and Cloud Computing.</t>
  </si>
  <si>
    <t>EN.605.789</t>
  </si>
  <si>
    <t>Service API Design and Development</t>
  </si>
  <si>
    <t>This comprehensive course explores core aspects for designing, developing, configuring, securing, deploying, and testing Java-based services and service APIs using modern Spring frameworks and libraries. The focus of this course is on APIs for RESTful services and microservices, and interoperation across application components using APIs. The course also introduces the data exchange mechanism and common data formats, as well as security measures and solutions. At the end of this course, students will be able to apply a variety of techniques and will be able to: Apply best design principles, practices and patterns for creating APIs for RESTful services;Document API using YAML and RAML according to OpenAPI/Swagger specification; Create an API management discipline; Implement API security, control API versioning and life cycle stages; Build RESTful services with Spring Framework; Consume RESTful services using JSON and XML data formats; Integrate RESTful API with different data sources through hands-on coding projects; Build, package and deploy RESTful services on cloud-based platform; Conduct API testing using a variety of tools and techniques; Implement security mechanisms for controlling access to deployed services by service consumers using the Spring Security framework. Students will learn through guided lectures and real-world examples. Students will work on assignments and projects where they will apply newly learned techniques and best practices using the iterative approach of enhancing requested capabilities. Course Note(s): Students will be expected to already have a strong foundation in Java programming and to be comfortable with IDEs tools.</t>
  </si>
  <si>
    <t>EN.605.795</t>
  </si>
  <si>
    <t>Capstone Project in Computer Science</t>
  </si>
  <si>
    <t>This course permits graduate students in computer science to work with other students and a faculty mentor to explore a topic in depth and apply principles and skills learned in the formal computer science courses to a real world problem. Students will work in self-organized groups of two to five students on a topic selected from a published list. Since students will have selected different courses to meet degree requirements, students should consider the combined strengths of the group in constituting their team. Each team will prepare a proposal, interim reports, a final report, and an oral presentation. The goal is to produce a publication quality paper and substantial software tool. This course has no formal content; each team should meet with their faculty mentor at least once a week and is responsible for developing their own timeline and working to complete it within one semester. The total time required for this course is comparable to the combined class and study time for a formal course. Course prerequisite(s): Seven computer science graduate courses including two courses numbered 605.7xx, all CS foundation courses, and meeting the track requirement; or admission to the post-master's certificate program. Students must also have permission of a faculty mentor, the student's academic advisor, and the program chair. Course note(s): Students may not receive graduate credit for both EN.605.795 and EN.605.802 Independent Study in Computer Science II. This course is only offered in the spring.</t>
  </si>
  <si>
    <t>computer_science_601</t>
  </si>
  <si>
    <t>EN.601.604</t>
  </si>
  <si>
    <t>Brain &amp; Computation</t>
  </si>
  <si>
    <t>Computational and network aspects of the brain are explored. The topics covered include structure, operation and connectivity of neurons, general network structure of the neural system, and the connectivity constraints imposed by pre- and post-natal neural development and the desirability of network consistency within a species. Both discrete and continuous aspects of neural computation are covered. Precise mathematical tools and analyses such as logic design, transient and steady state behavior of linear systems, and time and connectivity randomization are discussed. The concepts are illustrated with several applications. Memory formation from the synaptic level to the high level constructs are explored. Students are not expected to master any of the mathematical techniques but are expected to develop a strong qualitative appreciation of their power. Cerebellum, which has a simple network connectivity, will be covered as a typical system. Recommended course background: linear algebra, differential equations, probability, and algorithms.</t>
  </si>
  <si>
    <t>EN.601.606</t>
  </si>
  <si>
    <t>Next-Gen Networks: Space, Wireless &amp; Edge</t>
  </si>
  <si>
    <t>This course is designed for undergraduate and early graduate students and focuses on space networks as well as the software and protocol foundations of wireless and mobile networks. A major theme of the course will be emerging agentic network protocols. In addition, content distribution and edge-computing overlays will be included, as they play a critical role in maintaining application performance.Within the space networking component, the course will cover communications over Low Earth Orbit (LEO) and Geostationary Earth Orbit (GEO) satellites, as well as interplanetary communication systems. For wireless networks, the focus will be on software-defined 5G and emerging 6G architectures. The course will also cover caching strategies, content distribution networks (CDNs), and edge-computing overlays, which are essential for supporting modern networked applications.Finally, the course will introduce agentic network protocols, an important enabling technology for AI systems.Required Course Background: computer networks. Students may receive credit for only one of 601.406/601.606.</t>
  </si>
  <si>
    <t>EN.601.612</t>
  </si>
  <si>
    <t>Big Data Systems</t>
  </si>
  <si>
    <t>This course introduces students to the field of big data processing, its underlying technologies, managing the inter-relation of components in a system at scale, and the construction of analytical pipelines that provide business value. Key technologies explored in this course will include NoSQL databases, Hadoop ecosystems, distributed processing frameworks like Apache Spark, data warehousing solutions such as Hive, and streaming platforms like Kafka. Emphasis will be placed on understanding the architectural design and operational challenges of big data ecosystems.Required Course Background: data structures and computer system fundamentals or permission; prior knowledge of databases or parallel computing recommended.</t>
  </si>
  <si>
    <t>EN.601.613</t>
  </si>
  <si>
    <t>Software Defined Networks</t>
  </si>
  <si>
    <t>Software-Defined Networks (SDN) enable programmability of data networks and hence rapid introduction of new services. They use software-based controllers to communicate with underlying hardware infrastructure and direct traffic on a network. This model differs from that of traditional networks, which use dedicated hardware devices (i.e., routers and switches) to control network traffic. This technology is becoming a key part of web scale networks (at companies like Google and Amazon) and 5G/6G networks. Its importance will keep on growing. Many of today’s services and applications, especially when they involve the cloud, could not function without SDN. SDN allows data to move easily between distributed locations, which is critical for cloud applications. A major focus will be on how this technology will be used in 5G and 6G Networks. The course will cover basics of SDN, ongoing research in this area, and the industrial deployments. Required Course Background: computer networks.</t>
  </si>
  <si>
    <t>EN.601.614</t>
  </si>
  <si>
    <t>Computer Networks</t>
  </si>
  <si>
    <t>Topics covered will include applications layer protocols (e.g. HTTP, FTP, SMTP), transport layer protocols (UDP, TCP), network layer protocols (e.g. IP, ICMP), link layer protocols (e.g. Ethernet) and wireless protocols (e.g. IEEE 802.11). The course will also cover routing protocols such as link state and distance vector, multicast routing, and path vector protocols (e.g. BGP). The class will examine security issues such as firewalls and denial of service attacks. We will also study DNS, Web caching and CDNS, peer to peer, and protocol tunneling. Finally, we will explore security protocols (e.g. TLS, SSH, IPsec), as well as some basic cryptography necessary to understand these. Grading will be based on hands-pn programming assignments, homework and two exams. Required course background: C/C++ programming and data structures, or permission.</t>
  </si>
  <si>
    <t>EN.601.615</t>
  </si>
  <si>
    <t>Databases</t>
  </si>
  <si>
    <t>Introduction to database management systems and database design, focusing on the relational and object-oriented data models, query languages and query optimization, transaction processing, parallel and distributed databases, recovery and security issues, commercial systems and case studies, heterogeneous and multimedia databases, and data mining.Required course background: data structures.</t>
  </si>
  <si>
    <t>EN.601.616</t>
  </si>
  <si>
    <t>Embedded Systems &amp; Wireless Internet of Things</t>
  </si>
  <si>
    <t>This course provides students with an introductory understanding of embedded systems and key concepts in the Internet of Things (IoT), with particular emphasis on wireless communication and localization techniques. The course begins by covering essential embedded systems topics—including memory-mapped I/O (MMIO), interrupts, timers, and serial buses—which serve as the technical foundation for IoT devices. Building on this, students will explore various wireless networks tailored for IoT, such as Bluetooth Low Energy, Thread, Wi-Fi, LoRa, UWB, and RFID. The course also discusses the principles and applications of device localization and tracking, a core functionality in many IoT environments. Students practice what they learn in lecture via hands-on laboratory sessions and a final group project. Required Course Background: C/C++ programming and computer system fundamentals.</t>
  </si>
  <si>
    <t>EN.601.618</t>
  </si>
  <si>
    <t>Same material as 601.418, for graduate students. This course covers fundamental topics related to operating systems theory and practice. Topics include processor management, storage management, concurrency control, multi-programming and processing, device drivers, operating system components (e.g., file system, kernel), modeling and performance measurement, protection and security, and recent innovations in operating system structure. Course work includes the implementation of operating systems techniques and routines, and critical parts of a small but functional operating system. Required course background: Data Structures &amp; Computer System Fundamentals</t>
  </si>
  <si>
    <t>EN.601.619</t>
  </si>
  <si>
    <t>Clouds host a wide range of the applications that we rely on today. In this course, we study common cloud applications, traffic patterns that they generate, critical networking infrastructures that support them, and core networking and distributed systems concepts, algorithms, and technologies used inside clouds. We will also study how today's application demand is influencing the network’s design, explore current practice, and how we can build future's networked infrastructure to better enable both efficient transfer of big data and low-latency requirements of real-time applications. The format of this course will be a mix of lectures, discussions, assignments, and a project designed to help students practice and apply the theories and techniques covered in the course. Prerequisites: EN.601.226 or permission. Students can only receive credit for one of 601.419/619. Recommended: a course in operating systems, networks or systems programming.</t>
  </si>
  <si>
    <t>EN.601.620</t>
  </si>
  <si>
    <t>Parallel Programming &amp; Performance Engineering</t>
  </si>
  <si>
    <t>This course guides the learner to write efficient software with focus on exploiting hardware parallelism and efficient memory usage. Modern microprocessors are remarkably complex and implement parallelism at many levels, including instruction level, vectorization, pipelining, multicore, and memory. Simple or naïve implementations realize only a fraction of the performance available. Exploiting the capabilities or processors require an understanding of algorithms, computer architecture, systems (compilers, PL, OS) and how they interact. The course programs mostly in C/C++, because most performance-oriented software is written in these languages. It will also touch on at parallel programming in Python and CUDA for GPUs. Familiarity with Python required.Required course background: 601.226 and 601.229 or equiv, familiarity with Python. Students can earn credit for only one of EN.601.420 / EN.601.620 .</t>
  </si>
  <si>
    <t>EN.601.621</t>
  </si>
  <si>
    <t>Object Oriented Software Engineering</t>
  </si>
  <si>
    <t>Same material as EN.601.421 , for graduate students. This course covers object-oriented software construction methodologies and their application. The main component of the course is a large team project on a topic of your choosing. Course topics covered include object-oriented analysis and design, UML, design patterns, refactoring, program testing, code repositories, team programming, and code reviews. Required course background: intermediate programming, data structures, and experience in mobile or web app development. Students may receive credit for only one of 601.421/621.</t>
  </si>
  <si>
    <t>EN.601.622</t>
  </si>
  <si>
    <t>Software Testing &amp; Debugging</t>
  </si>
  <si>
    <t>Studies show that testing can account for over 50% of software development costs. This course presents a comprehensive study of software testing, principles, methodologies, tools, and techniques. Topics include testing principles, coverage (graph coverage, logic coverage, input space partitioning, and syntax-based coverage), unit testing, higher-order testing (integration, system-level, acceptance), testing approaches (white-box, black-box, grey-box), regression testing, debugging, delta debugging, and several specific types of functional and non-functional testing as schedule/interest permits (GUI testing, usability testing, security testing, load/performance testing, A/B testing etc.). For practical topics, state- of-the-art tools/techniques will be studied and utilized. Required course background: significant mobile or web app development.</t>
  </si>
  <si>
    <t>EN.601.623</t>
  </si>
  <si>
    <t>AI-Enabled Software Engineering</t>
  </si>
  <si>
    <t>This course is a comprehensive guide for students eager to explore the world of generative AI and its practical applications in software development. Designed with a hands-on approach, it equips you with the foundational knowledge of generative AI, introduces a suite of AI development tools, and covers key AI platforms and frameworks. You'll gain the skills needed to build and deploy AI-powered applications, culminating in a substantial team project that offers real-world experience in creating AI-driven software. By the end of the course, you'll be prepared to integrate AI into your applications and development process, unlocking new avenues for creativity and innovation. Required course background: data structures, full-stack development or instructor permission; HCI recommended.</t>
  </si>
  <si>
    <t>EN.601.625</t>
  </si>
  <si>
    <t>Software System Design</t>
  </si>
  <si>
    <t>This course introduces modern software systems design, with an emphasis on how to design large-scale systems, assess common system design trade-offs, and tackle system design challenges. It covers non-functional requirements, API design, distributed systems concepts, modern software building blocks (e.g., load balancers, caches, containers, etc.). Additionally, it includes case studies of common system design problems, some drawn from interview questions. Ultimately, this course helps learners become better software engineers. Required course background: EN.601.315 /415/615 or EN.601.280 or EN.601.290 or EN.601.340 /440/640 or EN.601.421 /621), or permission. Students may receive credit for only one of 601.425/625.</t>
  </si>
  <si>
    <t>EN.601.626</t>
  </si>
  <si>
    <t>Principles of Programming Languages</t>
  </si>
  <si>
    <t>Same material as EN.601.426 , for graduate students. Functional, object-oriented, and other language features are studied independent of a particular programming language. Students become familiar with these features by implementing them. Most of the implementations are in the form of small language interpreters. Some type checkers and a small compiler will also be written. The total amount of code written will not be overly large, as the emphasis is on concepts. The ML programming language is the implementation language used. Required course background: EN.601.226 .</t>
  </si>
  <si>
    <t>EN.601.628</t>
  </si>
  <si>
    <t>Compilers &amp; Interpreters</t>
  </si>
  <si>
    <t>Introduction to compiler design, including lexical analysis, parsing, syntax-directed translation, symbol tables, runtime environments, and code generation and optimization. Students are required to write a compiler as a course project. Required course background: intermediate programming, data structures and computer system fundamentalsRecommended background: automata and computation theory</t>
  </si>
  <si>
    <t>EN.601.629</t>
  </si>
  <si>
    <t>Functional Programming in Software Engineering</t>
  </si>
  <si>
    <t>How can we effectively use functional programming techniques to build real-world software? This course will primarily focus on using the OCaml programming language for this purpose. Topics covered include OCaml basics, modules, standard libraries, testing, quickcheck, build tools, functional data structures and efficiency analysis, monads, streams, and promises. Students will practice what they learn in lecture via functional programming assignments and a final project. Required course background in data structures ( EN.601.226 )</t>
  </si>
  <si>
    <t>EN.601.630</t>
  </si>
  <si>
    <t>Combinatorics &amp; Graph Theory in Computer Science</t>
  </si>
  <si>
    <t>This is a graduate level course studying the applications of combinatorics and graph theory in computer science. We will start with some basic combinatorial techniques such as counting and pigeon hole principle, and then move to advanced techniques such as the probabilistic method, spectral graph theory and additive combinatorics. We shall see their applications in various areas in computer science, such as proving lower bounds in computational models, randomized algorithms, coding theory and pseudorandomness. Required Course Background: discrete math, probability theory and linear algebra.</t>
  </si>
  <si>
    <t>EN.601.631</t>
  </si>
  <si>
    <t>This course covers the theoretical foundations of computer science. Topics included will be models of computation from automata to Turing machines, computability, complexity theory, randomized algorithms, inapproximability, interactive proof systems and probabilistically checkable proofs. Students may not take both 601.231 and 601.431/601.631, unless one is for an undergrad degree and the other for grad. Required Background: discrete math or permission; discrete probability theory recommended.</t>
  </si>
  <si>
    <t>EN.601.632</t>
  </si>
  <si>
    <t>Declarative Methods</t>
  </si>
  <si>
    <t>[Formerly EN.600.425.] Suppose you could simply write down a description of your problem, and let the computer figure out how to solve it. What notation could you use? What strategy should the computer then use? In this survey class, you'll learn to recognize when your problem is an instance of satisfiability, constraint programming, logic programming, dynamic programming, or mathematical programming (e.g., integer linear programming). For each of these related paradigms, you'll learn to reformulate hard problems in the required notation and apply off-the-shelf software that can solve any problem in that notation -- including NP-complete problems and many of the problems you'll see in other courses and in the real world. You'll also gain some understanding of the general-purpose algorithms that power the software. Required Course Background: data structures and calc II. Students can only receive credit for one of 601.432/632 or 600.325/425.</t>
  </si>
  <si>
    <t>EN.601.633</t>
  </si>
  <si>
    <t>Intro Algorithms</t>
  </si>
  <si>
    <t>Same material as EN.601.433 , for graduate students.This course concentrates on the design of algorithms and the rigorous analysis of their efficiency. topics include the basic definitions of algorithmic complexity (worst case, average case); basic tools such as dynamic programming, sorting, searching, and selection; advanced data structures and their applications (such as union-find); graph algorithms and searching techniques such as minimum spanning trees, depth-first search, shortest paths, design of online algorithms and competitive analysis. Required Background: data structures, discrete math, proof writing.</t>
  </si>
  <si>
    <t>EN.601.634</t>
  </si>
  <si>
    <t>Randomized and Big Data Algorithms</t>
  </si>
  <si>
    <t>This course will cover fundamental methods of randomization for efficient algorithms and relevant techniques in probabilistic analysis. The first part of the course will discuss classical randomized algorithms, including the randomized algorithm for the min-cut problem, hashing techniques, tail inequalities, and the probabilistic method. The second part will delve into advanced topics such as coreset methods for clustering algorithms, the Johnson-Lindenstrauss lemma, and the applications of streaming and sketching algorithms.</t>
  </si>
  <si>
    <t>EN.601.635</t>
  </si>
  <si>
    <t>Approximation Algorithms</t>
  </si>
  <si>
    <t>Graduate version of EN.601.435 . This course provides an introduction to approximation algorithms. Topics include vertex cover, TSP, Steiner trees, cuts, greedy approach, linear and semi-definite programming, primal-dual method, and randomization. Additional topics will be covered as time permits. There will be a final project. Recommended Background: EN.601.633 or equivalent. Students may receive credit for EN.601.435 or EN.601.635 , but not both.</t>
  </si>
  <si>
    <t>EN.601.638</t>
  </si>
  <si>
    <t>Theory of Differential Privacy</t>
  </si>
  <si>
    <t>This course is an introduction to differential privacy as a foundational framework for reasoning about privacy in data analysis. Students will develop a principled understanding of why privacy risks arise when privacy is not an explicit design objective and how differential privacy enables formal, provable guarantees. In this course, we will build on the algorithmic toolkit and statistical techniques for designing and analyzing differentially private methods, and study fundamental tradeoffs and lower bounds that characterize the limits of privacy.Required Course Background: students should be comfortable writing mathematical proofs involving algorithms, probability, and linear algebra (ie, EN.601.433 /633).</t>
  </si>
  <si>
    <t>EN.601.639</t>
  </si>
  <si>
    <t>Machine Learning for Single-Cell and Spatial Genomics</t>
  </si>
  <si>
    <t>Recent experimental advances enable the measurement of DNA, RNA and other diverse molecular modalities inside individual cells at an unprecedented scale and resolution. Computational and machine learning (ML) methods are essential for analyzing and interpreting these high-dimensional, single-cell genomics datasets. This course introduces computational/ML frameworks that are often used to analyze modern single-cell and spatial datasets. Topics include but are not limited to: matrix factorization; autoencoders and contrastive learning; graphs and manifold learning; graph neural networks; computational optimal transport (OT); Gromov-Wasserstein and dynamic OT. Expected course background in python programming, probability, linear algebra, and multi-variable calculus. A machine learning/data science course is strongly recommended. No biology background is necessary.</t>
  </si>
  <si>
    <t>EN.601.640</t>
  </si>
  <si>
    <t>Web Security</t>
  </si>
  <si>
    <t>This course begins with reviewing basic knowledge of the World Wide Web, and then exploring the central defense concepts behind Web security, such as same-origin policy, cross-origin resource sharing, and browser sandboxing. It will cover the most popular Web vulnerabilities, such as cross-site scripting (XSS) and SQL injection, as well as how to attack and penetrate software with such vulnerabilities. Students will learn how to detect, respond, and recover from security incidents. Newly proposed research techniques will also be discussed. Required course background: data structures, computer system fundamentals and javascript/web development. Students may receive credit for only one of 601.340/440/640.</t>
  </si>
  <si>
    <t>EN.601.641</t>
  </si>
  <si>
    <t>Blockchains and Cryptocurrencies</t>
  </si>
  <si>
    <t>Same as EN.601.441 , for graduate students. This course will introduce students to cryptocurrencies and the main underlying technology of Blockchains. The course will start with the relevant background in cryptography and then proceed to cover the recent advances in the design and applications of blockchains. This course should primarily appeal to students who want to conduct research in this area or wish to build new applications on top of blockchains. It should also appeal to those who have a casual interest in this topic or are generally interested in cryptography. Students are expected to have mathematical maturity. Recommended Course Background: EN.601.226 AND ( EN.553.310 OR EN.553.420 )</t>
  </si>
  <si>
    <t>EN.601.642</t>
  </si>
  <si>
    <t>Modern Cryptography</t>
  </si>
  <si>
    <t>Same material as 601.442, for graduate students. Modern Cryptography includes seemingly paradoxical notions such as communicating privately without a shared secret, proving things without leaking knowledge, and computing on encrypted data. In this challenging but rewarding course we will start from the basics of private and public key cryptography and go all the way up to advanced notions such as zero-knowledge proofs, functional encryption and program obfuscation. The class will focus on rigorous proofs and require mathematical maturity. Required course background: Probability &amp; Automata/Computation Theory</t>
  </si>
  <si>
    <t>EN.601.643</t>
  </si>
  <si>
    <t>Security &amp; Privacy in Computing</t>
  </si>
  <si>
    <t>Same material as 601.443, for graduate students. Lecture topics will include computer security, network security, basic cryptography, system design methodology, and privacy. There will be a heavy work load, including written homework, programming assignments, exams and a comprehensive final. The class will also include a semester-long project that will be done in teams and will include a presentation by each group to the class. Required course background: C programming and computer system fundamentals.</t>
  </si>
  <si>
    <t>EN.601.644</t>
  </si>
  <si>
    <t>Medical Device Cybersecurity</t>
  </si>
  <si>
    <t>In an increasingly connected healthcare landscape, medical devices have effectively become IT endpoints, often running general-purpose operating systems like Windows or Linux, incorporating cloud microservices, and integrating artificial intelligence to detect, prevent, and improve patient health outcomes. Protecting these devices from cyber threats is not just a technical challenge—it's a matter of patient safety. A security breach in medical devices like pacemakers or infusion pumps can have life-threatening consequences. National and international regulatory bodies, such as the FDA and EU National Competent Authorities (NCAs) and Medical Device Regulation (MDR), know the implications and have provided prescription and guidance emphasizing stringent cybersecurity measures throughout a device's lifecycle, from design and development to postmarket surveillance. The result is a heightened awareness of medical device security and its impact on healthcare delivery, requiring cybersecurity risk management. In particular, focusing on threat modeling, cybersecurity risk assessment, secure design, secure coding practices, vulnerability management and monitoring, software bill of materials, cybersecurity transparency, user labeling, penetration testing, and more. Recommended background: computing systems, operating systems, machine learning &amp; AI. Students may receive credit for only one of 601.444/601.644.</t>
  </si>
  <si>
    <t>EN.601.645</t>
  </si>
  <si>
    <t>Practical Cryptographic Systems</t>
  </si>
  <si>
    <t>Same material as 601.445, for graduate students. This semester-long course will teach systems and cryptographic design principles by example: by studying and identifying flaws in widely-deployed cryptographic products and protocols. Our focus will be on the techniques used in practical security systems, the mistakes that lead to failure, and the approaches that might have avoided the problem.We will place a particular emphasis on the techniques of provable security and the feasibility of reverse-engineering undocumented cryptographic systems.</t>
  </si>
  <si>
    <t>EN.601.646</t>
  </si>
  <si>
    <t>Sketching and Indexing for Sequences</t>
  </si>
  <si>
    <t>Many of the world's largest and fastest-growing datasets are text, e.g. DNA sequencing data, web pages, logs and social media posts. Such datasets are useful only to the degree we can query, compare and analyze them. Here we discuss two powerful approaches in this area. We will cover sketching, which enables us to summarize very large texts in small structures that allow us to measure the sizes of sets and of their unions and intersections. This in turn allows us to measure similarity and find near neighbors. Second, we will discuss indexing --- succinct and compressed indexes in particular -- which enables us to efficiently search inside very long strings, especially in highly repetitive texts.</t>
  </si>
  <si>
    <t>EN.601.647</t>
  </si>
  <si>
    <t>Computational Genomics: Sequences</t>
  </si>
  <si>
    <t>Same material as 601.447, for graduate students. Your genome is the blueprint for the molecules in your body. It's also a string of letters (A, C, G and T) about 3 billion letters long. How does this string give rise to you? Your heart, your brain, your health? This, broadly speaking, is what genomics research is about. This course will familiarize you with a breadth of topics from the field of computational genomics. The emphasis is on current research problems, real-world genomics data, and efficient software implementations for analyzing data. Topics will include: string matching, sequence alignment and indexing, assembly, and sequence models. Course will involve significant programming projects. Required course background: Intermediate programming (C/C++) and Data Structures</t>
  </si>
  <si>
    <t>EN.601.649</t>
  </si>
  <si>
    <t>Computational Genomics: Applied Comparative Genomics</t>
  </si>
  <si>
    <t>The goal of this course is to study the leading computational and quantitative approaches for comparing and analyzing genomes starting from raw sequencing data. The course will focus on human genomics and human medical applications, but the techniques will be broadly applicable across the tree of life. The topics will include genome assembly &amp; comparative genomics, variant identification &amp; analysis, gene expression &amp; regulation, personal genome analysis, and cancer genomics. The grading will be based on assignments, a midterm exam, class presentations, and a significant class project. Prerequisites: knowledge of the Unix operating system and programming expertise in a language such as R or Python.</t>
  </si>
  <si>
    <t>EN.601.653</t>
  </si>
  <si>
    <t>Applications of Augmented Reality</t>
  </si>
  <si>
    <t>This course is designed to expand the student’s augmented reality knowledge and introduce relevant topics necessary for developing more meaningful applications and conducting research in this field. The course addresses the fundamental concepts of visual perception and introduces non-visual augmented reality modalities, including auditory, tactile, gustatory, and olfactory applications. The following sessions discuss the importance of integrating user-centered design concepts to design meaningful augmented reality applications. A later module introduces the basic requirements to design and conduct user studies and guidelines on interpreting and evaluating the results from the studies. During the course, students conceptualize, design, implement and evaluate the performance of augmented reality solutions for their use in industrial applications, teaching and training, or healthcare settings. Homework in this course will relate to applying the theoretical methods used for designing, implementing, and evaluating augmented reality applications. Required course background: intermediate programming (C/C++), data structures, linear algebra; EN.601.654 preferred.</t>
  </si>
  <si>
    <t>EN.601.654</t>
  </si>
  <si>
    <t>Introduction to Augmented Reality</t>
  </si>
  <si>
    <t>This course introduces students to the field of Augmented Reality. It reviews its basic definitions, principles, and applications. The course explains how fundamentals concepts of computer vision are applied for the development of Augmented Reality applications. It then focuses on describing the principal components and particular requirements to implement a solution using this technology. The course also discusses the main issues of calibration, tracking, multi-modal registration, advanced visualization, and display technologies. Homework in this course will relate to the mathematical methods used for calibration, tracking, and visualization in augmented reality. Required course background: intermediate programming (C/C++), data structures, linear algebra.</t>
  </si>
  <si>
    <t>EN.601.655</t>
  </si>
  <si>
    <t>Computer Integrated Surgery I</t>
  </si>
  <si>
    <t>Same material as 601.455, for graduate students. This course focuses on computer-based techniques, systems, and applications exploiting quantitative information from medical images and sensors to assist clinicians in all phases of treatment from diagnosis to preoperative planning, execution, and follow-up. It emphasizes the relationship between problem definition, computer-based technology, and clinical application and includes a number of guest lectures given by surgeons and other experts on requirements and opportunities in particular clinical areas. Required Course Background: data structures and linear algebra or permission.Recommended Course Background: intermediate programming in C/C++, EN.601.457 , EN.601.461 , image processing.</t>
  </si>
  <si>
    <t>EN.601.656</t>
  </si>
  <si>
    <t>Computer Integrated Surgery II</t>
  </si>
  <si>
    <t>Same material as EN.601.456 , for graduate students. This weekly lecture/seminar course addresses similar material to EN.601.655 , but covers selected topics in greater depth. In addition to material covered in lectures/seminars by the instructor and other faculty, students are expected to read and provide critical analysis/presentations of selected papers in recitation sessions. Students taking this course are required to undertake and report on a significant term project under the supervision of the instructor and clinical end users. Typically, this project is an extension of the term project from EN.601.655 , although it does not have to be. Grades are based both on the project and on classroom recitations. Students wishing to attend the weekly lectures as a 1-credit seminar should sign up for EN.601.356. Students may receive credit for only one of 601.456/496/656.</t>
  </si>
  <si>
    <t>EN.601.657</t>
  </si>
  <si>
    <t>Same material as 601.457, for graduate students. This course introduces computer graphics techniques and applications, including image processing, rendering, modeling and animation. Permission of instructor is required for students not satisfying a pre-requisite. No Audits.Required course background: EN.601.220 (C++), EN.601.226 , linear algebra.</t>
  </si>
  <si>
    <t>EN.601.658</t>
  </si>
  <si>
    <t>Geometry Processing</t>
  </si>
  <si>
    <t>This course introduces techniques for processing both signals defined over a triangle mesh, and the geometry of the mesh itself. To this end, we will develop the finite-elements methods for representing functions over a triangle mesh. We will focus on providing an algebraic formulation describing the spaces in which different operators live, and will leverage the method to formulate the problems of geometry processing in the language of spectral-analysis. The course will embrace a learn-by-doing paradigm in which students become familiar with the methodology by using it to solve a range of classical problems (including smoothing, sharpening, stitching, and deformation). Required Course Background: C/C++, data structures, linear algebra, calc III; computer graphics recommended.</t>
  </si>
  <si>
    <t>EN.601.660</t>
  </si>
  <si>
    <t>Embodied AI with Web-Scale Video Data</t>
  </si>
  <si>
    <t>Embodied AI from Web-Scale Multimodal Data examines how modern agents learn perception, prediction, and control by leveraging large, unstructured internet data, especially web video, egocentric human interaction recordings, and vision-language datasets. The course builds a bottom-up understanding of the perception–action loop, focusing on how motion, 3D structure, human pose and interaction cues, and multimodal signals can be extracted and aligned from video to support embodied reasoning and decision-making.Students will study recent advances in generative video/world models, 3D vision, imitation learning, and offline reinforcement learning, with an emphasis on data curation and alignment at scale. Through paper discussions, hands-on mini-assignments, and an open-ended final project, students will learn to critically evaluate current research and to design scalable learning pipelines that connect web-supervised perception to embodied tasks such as navigation, manipulation, and wearable assistants.Required course background: machine learning or deep learning; computer vision recommended. Students may receive credit for only one of 601.460/660.</t>
  </si>
  <si>
    <t>EN.601.661</t>
  </si>
  <si>
    <t>This course provides an overview of fundamental methods in computer vision from a computational perspective. Methods studied include: camera systems and their modelling, computation of 3¬D geometry from binocular stereo, motion, and photometric stereo, and object recognition, image segmentation, and activity analysis. Elements of machine learning and deep learning are also included. Required course background: Intro to Programming, Linear Algebra &amp; prob/stats</t>
  </si>
  <si>
    <t>EN.601.663</t>
  </si>
  <si>
    <t>Algorithms for Sensor-Based Robotics</t>
  </si>
  <si>
    <t>Same material as EN.601.463 , for graduate students. This course surveys the development of robotic systems for navigating in an environment from an algorithmic perspective. It will cover basic kinematics, configuration space concepts, motion planning, and localization and mapping. It will describe these concepts in the context of the ROS software system, and will present examples relevant to mobile platforms, manipulation, robotics surgery, and human-machine systems. Recommended Course Background: EN.601.226 , linear algebra, calculus, probability.</t>
  </si>
  <si>
    <t>EN.601.664</t>
  </si>
  <si>
    <t>The course situates the study of Artificial Intelligence (AI) first in the broader context of Cognitive Science (i.e., human intelligence) and then treats in-depth principles and methods for reasoning, planning, and learning, including both conventional methods and recent deep learning approaches. The class is recommended for all scientists and engineers with a genuine curiosity about how to build an AI system (in particular, an intelligent agent) that can learn, reason about, and interact with the world and other agents. Students will be asked to complete both programming assignments and writing assignments. Required course background: data structures, linear algebra &amp; prob/stat. Students can only receive credit for one of 601.464/664.</t>
  </si>
  <si>
    <t>EN.601.665</t>
  </si>
  <si>
    <t>Same material as 601.465, for graduate students. An in-depth introduction to core techniques for analyzing, transforming, and generating human language. The course spans linguistics, modeling, algorithms, and applications. (1) How should linguistic structure and meaning be represented (e.g., trees, morphemes, ?-terms, vectors)? (2) How can we formally model the legal structures and their probabilities (e.g., grammars, automata, features, log-linear models, recurrent neural nets, Transformers)? (3) What algorithms can estimate the parameters of these models (e.g., gradient descent, EM) and efficiently identify probable structures (e.g., dynamic programming, beam search)? (4) Finally, what kinds of systems can be built with these techniques and how are they constructed and evaluated in practice? Detailed assignments guide students through many details of implementing core NLP methods. The course proceeds from first principles, although prior exposure to AI, statistics, ML, or linguistics can be helpful. Prerequisite: Data Structures and basic familiarity with Python, partial derivatives, matrix multiplication and probabilities.</t>
  </si>
  <si>
    <t>EN.601.666</t>
  </si>
  <si>
    <t>Information Retrieval and Web Agents</t>
  </si>
  <si>
    <t>Same material as EN.601.466 , for graduate students. An in-depth, hands-on study of current information retrieval techniques and their application to developing intelligent WWW agents. Topics include a comprehensive study of current document retrieval models, mail/news routing and filtering, document clustering, automatic indexing, query expansion, relevance feedback, user modeling, information visualization and usage pattern analysis. In addition, the course explores the range of additional language processing steps useful for template filling and information extraction from retrieved documents, focusing on recent, primarily statistical methods. The course concludes with a study of current issues in information retrieval and data mining on the World Wide Web. Topics include web robots, spiders, agents and search engines, exploring both their practical implementation and the economic and legal issues surrounding their use. [Applications] Recommended Course Background: EN.601.226</t>
  </si>
  <si>
    <t>EN.601.667</t>
  </si>
  <si>
    <t>Introduction to Human Language Technology</t>
  </si>
  <si>
    <t>This course gives an overview of basic foundations and applications of human language technology, such as: morphological, syntactic, semantic, and pragmatic processing; machine learning; signal processing; speech recognition; speech synthesis; information retrieval; text classification; topic modelling; informationextraction; knowledge representation; machine translation; dialog systems; etc. Required Background: EN.601.226 Data Structures; knowledge of Python recommended.</t>
  </si>
  <si>
    <t>EN.601.668</t>
  </si>
  <si>
    <t>Machine Translation</t>
  </si>
  <si>
    <t>Same material as 601.468, for graduate students. Google translate can instantly translate between any pair of over fifty human languages (for instance, from French to English). How does it do that? Why does it make the errors that it does? And how can you build something better? Modern translation systems learn to translate by reading millions of words of already translated text, and this course will show you how they work. The course covers a diverse set of fundamental building blocks from linguistics, machine learning, algorithms, data structures, and formal language theory, along with their application to a real and difficult problem in artificial intelligence. Required course background: Data Structures and prob/stats</t>
  </si>
  <si>
    <t>EN.601.669</t>
  </si>
  <si>
    <t>AI Safety, Alignment, &amp; Governance</t>
  </si>
  <si>
    <t>This course will focus on the alignment and governance challenges posed by advanced frontier/general purpose AI models: why these models may behave in ways that pose significant risk to human welfare and what technical and governance approaches might mitigate these risks. We’ll begin the course studying general results from alignment and governance in human normative systems such as markets, politics, norms and laws. We’ll pay special attention to risks arising from agentic AI. We’ll then look at current technical and position papers in various topics in AI safety and alignment. Topics could include: RLHF, constitutional AI, red-teaming, safety evaluation methods, red lines, jail-breaking, prompt injection, over-optimization, and open-source debates. We’ll conclude with discussion of regulatory frameworks such as regulatory markets, registration of frontier models, international governance organizations, registration of AI agents and legal personhood for AI agents. This is a paper-reading class.</t>
  </si>
  <si>
    <t>EN.601.670</t>
  </si>
  <si>
    <t>Artificial Agents</t>
  </si>
  <si>
    <t>This course covers a number of topics explored in introductory AI, such as knowledge representation, reasoning, and natural language understanding. Unlike introductory AI, we will pursue these topics based on the transformer neural architecture. We will motivate the material through interacting with agents in games: how to build models that understand user commands, how to generate responses back to a user, and how to reason about a synthetic environment to determine a course of action. Assignments will include programming, presentations on readings, and written summaries of readings.</t>
  </si>
  <si>
    <t>EN.601.671</t>
  </si>
  <si>
    <t>The rise of massive self-supervised (pre-trained) models have transformed various data-driven fields such as natural language processing (NLP). In this course, students will gain a thorough introduction to self-supervised learning techniques for NLP applications. Through lectures, assignments, and a final project, students will learn the necessary skills to design, implement, and understand their own self-supervised neural network models, using the Pytorch framework. Required course background: data structures, linear algebra, probability, familiarity with Python/PyTorch.</t>
  </si>
  <si>
    <t>EN.601.672</t>
  </si>
  <si>
    <t>Natural Language Processing for Computational Social Science</t>
  </si>
  <si>
    <t>[Alt. title: Analyzing Text as Data] Vastly available digitized text data has created new opportunities for understanding social phenomena. Relatedly, social issues like toxicity, discrimination, and propaganda frequently manifest in text, making text analyses critical for understanding and mitigating them. In this course, we will centrally explore: how can we use NLP as a tool for understanding society? Students will learn core and recent advances in text-analysis methodology, building from word-level metrics to embeddings and language models as well as incorporating statistical methods such as time series analyses and causal inference. Required Course Background: natural language processing and familiarity with Python/PyTorch. Students may receive credit for EN.601.472 or EN.601.672 , but not both.</t>
  </si>
  <si>
    <t>EN.601.673</t>
  </si>
  <si>
    <t>Cognitive Artificial Intelligence</t>
  </si>
  <si>
    <t>Humans, even young children, can learn, model, and reason about the world and other people in a fast, robust, and data efficient way. This course will discuss the principles of human cognition, how we can use machine learning and AI models to computationally capture these principles, and how these principles can help us build better AI. Topics will include (but are not limited to) Bayesian concept learning, probabilistic programming, intuitive physics, decision-making, Theory of Mind, pragmatics, and value alignment. Required Course Background: Prob/Stat &amp; Linear Algebra &amp; Computing; prior course in ML/AI strongly recommended.Students may receive credit for only one of 601.473/601.673.</t>
  </si>
  <si>
    <t>EN.601.674</t>
  </si>
  <si>
    <t>ML: Learning Theory</t>
  </si>
  <si>
    <t>This machine learning course will provide a formal and in-depth coverage of topics in statistical and computational learning theory. We will revisit popular machine learning algorithms and understand their performance in terms of the size of the data (sample complexity), memory needed (space complexity), as well as the overall runtime (computational or iteration complexity). We will cover topics including PAC learning, uniform convergence, VC dimension, Rademacher complexity, algorithmic stability, kernel methods, online learning and reinforcement learning, as well as introduce students to current topics in large-scale machine- learning and randomized projections. General focus will be on combining methodology with theoretical and computational foundations.</t>
  </si>
  <si>
    <t>EN.601.675</t>
  </si>
  <si>
    <t>Machine Learning</t>
  </si>
  <si>
    <t>Same material as 601.475, for graduate students. Machine learning is subfield of computer science and artificial intelligence, whose goal is to develop computational systems, methods, and algorithms that can learn from data to improve their performance. This course introduces the foundational concepts of modern Machine Learning, including core principles, popular algorithms and modeling platforms. This will include both supervised learning, which includes popular algorithms like SVMs, logistic regression, boosting and deep learning, as well as unsupervised learning frameworks, which include Expectation Maximization and graphical models. Homework assignments include a heavy programming components, requiring students to implement several machine learning algorithms in a common learning framework. Additionally, analytical homework questions will explore various machine learning concepts, building on the pre-requisites that include probability, linear algebra, multi-variate calculus and basic optimization. Students in the course will develop a learning system for a final project. Required course background: multivariable calculus, probability, linear algebra, intro to computing</t>
  </si>
  <si>
    <t>EN.601.677</t>
  </si>
  <si>
    <t>Causal Inference</t>
  </si>
  <si>
    <t>"Big data" is not necessarily "high quality data." Systematically missing records, unobserved confounders, and selection effects present in many datasets make it harder than ever to answer scientifically meaningful questions. This course will teach mathematical tools to help you reason about causes, effects, and bias sources in data with confidence. We will use graphical causal models, and potential outcomes to formalize what causal effects mean, describe how to express these effects as functions of observed data, and use regression model techniques to estimate them. We will consider techniques for handling missing values, structure learning algorithms for inferring causal directionality from data, and connections between causal inference and reinforcement learning. Pre-requisites: familiarity with the R programming language, multivariate calculus, basics of linear algebra and probability.</t>
  </si>
  <si>
    <t>EN.601.678</t>
  </si>
  <si>
    <t>Causal Discovery</t>
  </si>
  <si>
    <t>Data often provides a projection of the inner workings of real-world systems. Many problems require a deeper understanding of the cause-and-effect relations that underlie the data-generating process. Causal discovery refers to the process of learning a graphical representation of these causal relations, called a causal graph. Such representations can be used for causal effect estimation, as well as other applications, such as system monitoring and diagnosis (e.g., root-cause analysis). In this course, we will learn the foundational principles behind causal discovery. We will explore the fundamental limits of causal discovery under well-defined assumptions and discuss algorithmic approaches for learning causal graphs from data.Required Course Background: a graduate level course in machine learning or basics of data structures, linear algebra and probability. Students may receive credit for at most one of 601.478/678.</t>
  </si>
  <si>
    <t>EN.601.679</t>
  </si>
  <si>
    <t>Machine Learning: Reinforcement Learning</t>
  </si>
  <si>
    <t>Tremendous success of reinforcement learning (RL) in a variety of settings from AlphaGo to LLMs makes it a critical area to study. This course will study classical aspects of RL as well as its modern counterparts. Topics will include Markov Decision Processes, dynamic programming, model-based and model-free RL, temporal difference learning, Monte Carlo methods, multi-armed bandits, policy optimization and other methods.Required course background: machine learning, linear algebra and probability. Students may receive credit for at most one of 601.479/679.</t>
  </si>
  <si>
    <t>EN.601.682</t>
  </si>
  <si>
    <t>Deep learning (DL) has emerged as a powerful tool for solving data-intensive learning problems such as supervised learning for classification or regression, dimensionality reduction, and control. As such, it has a broad range of applications including speech and text understanding, computer vision, medical imaging, and perception-based robotics. The goal of this course is to introduce the basic concepts of deep learning (DL). The course will include a brief introduction to the basic theoretical and methodological underpinnings of machine learning, commonly used architectures for DL, DL optimization methods, DL programming systems, and specialized applications to computer vision, speech understanding, and robotics. Students will be expected to solve several DL problems on standardized data sets, and will be given the opportunity to pursue team projects on topics of their choice. Required course background: Data Structures, Linear Algebra, Probability, Calc II required; Statistics, Machine Learning, Calc III, numerical optimization and Python strongly recommended.</t>
  </si>
  <si>
    <t>EN.601.683</t>
  </si>
  <si>
    <t>Generative Vision: The Art and Science of Visual Synthesis</t>
  </si>
  <si>
    <t>This advanced course covers the evolution of generative modeling – from early Variational Autoencoders (VAEs) and Generative Adversarial Networks (GANs) to modern Autoregressive models and Diffusion-based systems. Students will investigate how these models represent the visual world, how they can be controlled, and how they are transforming tasks like image editing, 3D scene synthesis, and video generation.</t>
  </si>
  <si>
    <t>EN.601.684</t>
  </si>
  <si>
    <t>Explainable AI Design &amp; Human-AI Interaction</t>
  </si>
  <si>
    <t>This is a design course. Increasing the trustworthiness of machine learning solutions has emerged as an important research area. One approach to trustworthy machine learning is explainable and/or interpretable machine learning, which attempts to reveal the working mechanisms of a machine learning system. However, other than on-task performance, explainability is not a property of machine learning algorithms, but an affordance: a relationship between explanation model and the target users in their context. Successful development of machine learning solutions that afford explainability thus requires understanding of techniques beyond pure machine learning. In this course, we will first review the basics of machine learning and human-centered design. Then, we will introduce several techniques to explain machine learning models and/or make them interpretable, and through hands-on sessions and case studies, will investigate how these techniques affect human-AI interaction.In addition to individual homework assignments, students will work in groups to design, justify, implement, and test an explainable machine learning algorithm for a problem of their choosing.Additional Recommended (601.454/654, 601.290, 601.490/690 or 601.491/691) and 601.477/677.</t>
  </si>
  <si>
    <t>EN.601.685</t>
  </si>
  <si>
    <t>Probabilistic Models of the Visual Cortex</t>
  </si>
  <si>
    <t>The course gives an introduction to computational models of the mammalian visual cortex. It covers topics in low-, mid-, and high-level vision. It briefly discusses the relevant evidence from anatomy, electrophysiology, imaging (e.g., fMRI), and psychophysics. It concentrates on mathematical modelling of these phenomena taking into account recent progress in probabilistic models of computer vision and developments in machine learning, such as deep networks. Programming experience (Python preferred).</t>
  </si>
  <si>
    <t>EN.601.686</t>
  </si>
  <si>
    <t>Machine Learning: Artificial Intelligence System Design &amp; Development</t>
  </si>
  <si>
    <t>Advances in Artificial intelligence have opened new opportunities for developing systems to aid in numerous areas of society. In order for AI systems to succeed in making constructive and positive changes, we must consider their impact on everyday life. Specifically, AI system designers must evaluate the overall capabilities of the system, consider the resulting human-AI interactions, and ensure that the system behaves in a responsible and ethical manner. In this project-based course you will work in teams of 3-5 students to 1) Identify a need with high-impact implications on everyday life; 2) Articulate principles of Responsible AI relevant to the intended application, 3) Conceptualize and design an AI system targeting this need, and 4) Develop the AI system by refining a demo-able prototype based on feedback received during course presentations. Additionally, we will discuss potential ethical issues that can arise in AI and how to develop Responsible AI principles. Coursework will consist of writing assignments, project presentations, and a project demonstration.Required course background: ( EN.601.475 /675 or EN.601.464 /664 or EN.601.482 /682) and Python programming. Recommended: 601.290 or 601.454/654 or 601.490/690 or 601.491/691 (experience with human computer interface design).</t>
  </si>
  <si>
    <t>EN.601.687</t>
  </si>
  <si>
    <t>Machine Learning: Coping with Non-Stationary Environments and Errors</t>
  </si>
  <si>
    <t>This course teaches machine learning methods that 1) consider data distribution shift and 2) represent and quantify the model uncertainty in a principled way. The topics we will cover include machine learning techniques that deal with data distribution shift, including domain adaptation, domain generalization, and distributionally robust learning techniques, and various uncertainty quantification methods, including Bayesian methods, conformal prediction methods, and model calibration methods. We will introduce these topics in the context of building trustworthy machine learning solutions to safety-critical applications and socially-responsible applications. For example, a typical application is responsible decision-making under uncertainty in non-stationary environments. So we will also introduce concepts like fair machine learning and learning under safety constraints, and discuss how robust and uncertainty-aware learning techniques contribute to such more desired systems. Students will learn the state-of-the-art methods in lectures, test their understanding in homeworks, and apply these methods in a project.Required course background: 601.475/675 Machine Learning. Students may receive credit for only one of 601.487/687, and may not take this course after taking EN.601.787 .</t>
  </si>
  <si>
    <t>EN.601.689</t>
  </si>
  <si>
    <t>Human-in-the-Loop Machine Learning</t>
  </si>
  <si>
    <t>Machine learning (ML) is being deployed in increasingly consequential tasks, such as healthcare and autonomous driving. For the foreseeable future, successfully deploying ML in such settings will require close collaboration and integration with humans, whether they be users, designers, engineers, policy-makers, etc. This course will look at how humans can be incorporated into the foundations of ML in a principled way. The course will be broken down into three parts: demonstration, collaboration, and oversight. Demonstration is about how machines can learn from 'observing' humans---such as learning to drive a car from data collected while humans drive. In this setting, the human is assumed to be strictly better than the machine and so the primary goal is to transmit the human's knowledge and abilities into the ML model. The second part, collaboration, is about when humans and models are near equals in performance but not in abilities. A relevant setting is AI-assisted healthcare: perhaps a human radiologist and ML model are good at diagnosing different kinds of diseases. Thus we will look at methodologies that allow machines to ‘ask for help' when they are either unconfident in their own performance and/or think the human can better carry out the task. The course will close with the setting in which machines are strictly better at a task than humans are, but we still wish to monitor them to ensure safety and alignment with our goals (oversight). Assessment will be done with homework, quizzes, and a final project.</t>
  </si>
  <si>
    <t>EN.601.690</t>
  </si>
  <si>
    <t>Introduction to Human-Computer Interaction</t>
  </si>
  <si>
    <t>This course is designed to introduce undergraduate and graduate students to design techniques and practices in human-computer interaction (HCI), the study of interactions between humans and computing systems. Students will learn design techniques and evaluation methods, as well as current practices and exploratory approaches, in HCI through lectures, readings, and assignments. Students will practice various design techniques and evaluation methods through hands-on projects focusing on different computing technologies and application domains. This course is intended for undergraduate and graduate students in Computer Science/Cognitive Science/Psychology. Interested students from different disciplines should contact the instructor before enrolling in this course. Recommended Background: Basic programming skills.</t>
  </si>
  <si>
    <t>EN.601.691</t>
  </si>
  <si>
    <t>Human-Robot Interaction</t>
  </si>
  <si>
    <t>This course is designed to introduce graduate students to research methods and topics in human-robot interaction (HRI), an emerging research area focusing on the design and evaluation of interactions between humans and robotic technologies. Students will (1) learn design principles for building and research methods of evaluating interactive robot systems through lectures, readings, and assignments, (2) read and discuss relevant literature to gain sufficient knowledgeof various research topics in HRI, and (3) work on a substantial project that integrates the principles, methods, and knowledge learned in this course. Pre-req: EN.601.220 and EN.601.226 .</t>
  </si>
  <si>
    <t>EN.601.692</t>
  </si>
  <si>
    <t>Learning-based Vision</t>
  </si>
  <si>
    <t>This advanced undergraduate/graduate-level course offers an in-depth exploration of modern computer vision techniques centered on deep learning. While traditional computer vision focuses on geometry and handcrafted features, this course covers the end-to-end learning paradigms that have revolutionized the field. We will cover the foundations of image recognition, including the design and training of convolutional neural networks (CNNs), and progress to advanced, state-of-the-art topics. Key areas of study will include self-supervised learning, Vision Transformers (ViTs), generative modeling (VAEs, GANs, and diffusion models), neural rendering with Neural Radiance Fields (NeRFs), and the rise of large-scale, prompt-guided vision models. The course will emphasize both the theoretical underpinnings and the practical implementation of these models. Students will gain hands-on experience through programming assignments and a final project, preparing them for research or advanced development roles in computer vision. Required Course Background: at least one of computer vision or deep learning; machine learning also recommended.</t>
  </si>
  <si>
    <t>EN.601.693</t>
  </si>
  <si>
    <t>Accessible Computing</t>
  </si>
  <si>
    <t>This course is designed to introduce students to the principles, challenges, and opportunities in designing computing systems that are accessible to people with diverse abilities. Students will learn about assistive technologies, inclusive design methodologies, and the incorporation of accessibility in computer applications through lectures, readings, and projects.Required Background: programming and knowledge in human-computer interaction.</t>
  </si>
  <si>
    <t>EN.601.694</t>
  </si>
  <si>
    <t>Introduction to Human-Centered AI</t>
  </si>
  <si>
    <t>Artificial intelligence (AI) has transformed nearly every aspect of modern life. Tools such as ChatGPT and Gemini have greatly expanded human capability, but they also raise critical questions about privacy, accessibility, ethics, and human agency. This course introduces the emerging field of human-centered, an approach that integrates human values, design principles, and technical understanding to ensure AI systems are useful, usable, and responsible.Through a combination of lectures, guest talks, hands-on projects, and in-class activities, students will explore key dimensions of human-centered AI: human aspects, technical aspects, human–AI interaction, special domains. In addition, the course features interactive workshops introducing tools and frameworks essential to human-centered AI practice, such as Figma, React, and the OpenAI API.Required Course Background: foundational knowledge of AI/ML concepts, programming, and human-centered design or behavioral science. Students can earn credit for at most one of 601.494/694.</t>
  </si>
  <si>
    <t>EN.601.695</t>
  </si>
  <si>
    <t>Introduction to Robot Learning</t>
  </si>
  <si>
    <t>Sensorimotor coordination in robotics is a fundamental topic that studies the coordination between a robot's sensory and motor systems, enabling reliable interaction between robots and the physical world. The impressive movement we saw robots perform today is the accumulation of sensorimotor coordination techniques developed over the past three decades, encompassing aspects of perception, planning, control, decision-making, and a recent surge in embodied intelligence. This course will guide students through these aspects, with a deep dive into how advances in machine learning bring robots' sensorimotor capabilities to the next level. Specifically, the topics will cover supervised/unsupervised learning, imitation learning, reinforcement learning, model learning, and adaptation between simulation and real environments (sim2real, real2sim, and real2sim2real). Each course will also engage students in discussions on the necessity of data-driven approaches in different aspects of robotics, as well as what has and has not been solved in embodied AI.Required Course Background: coursework in machine learning or deep learning. Students may receive credit for only one of EN.601.495 / EN.601.695 .</t>
  </si>
  <si>
    <t>EN.601.697</t>
  </si>
  <si>
    <t>Human-Centered Robotics: Models &amp; Algorithms</t>
  </si>
  <si>
    <t>In this course, we will study fundamental concepts in human-centered robotics, with an emphasis on mathematical models of human–robot interaction and decision-making algorithms for safely deploying robots in human-populated environments. We will ground these ideas in applications such as drones, autonomous vehicles, and home robots. After introducing the main technical tools for robot planning and control in interactive, safety-critical settings through a game-theoretic lens, we will turn our attention to two tightly coupled challenges in modern robotics: safely enabling robots that learn from humans and help humans learn. The course will combine seminar-style discussions of research papers and whiteboard-style lecture to introduce the key theoretical concepts, and the class project will give you an opportunity to explore the approaches covered in class and possibly combine them with your own research. After this class, you will be familiar with the state of the art and open challenges in safe and performant human–robot interaction, and you will understand the guarantees and tradeoffs offered by different algorithmic frameworks for human-centered robotics.Required student background: C/C++, data structures, calc III, linear algebra, probability. Students may receive credit for EN.601.497 or EN.601.697 , but not both.</t>
  </si>
  <si>
    <t>EN.601.698</t>
  </si>
  <si>
    <t>Hands-on Robot Learning</t>
  </si>
  <si>
    <t>This course provides a comprehensive, hands-on introduction to the design and implementation of modern learning-based robotic systems. The primary objective of this course is to equip students with the theoretical skills and practical tools necessary to succeed as world-class robot learning engineers and scientists.This course involves equal amounts of in-classroom teaching and outside-the-classroom practical work. Students will work in small groups (approx 3 students per group) to build a physical SO-101 arm from a provided equipment kit, and develop key software stack components to enable robot learning from data. The first two modules of the course will cover the ‘nuts and bolts’ of robot learning and data curation strategies, including a variety of teleoperation methods. The remainder of the course will then delve into learning ‘policies’ that determine how a robot acts in response to sense data. The course will cover state-of-the art policy learning approaches, including generalist techniques such as vision-language-action (VLA) models, in detail.Required Course Background: machine learning or deep learning, and robotics. Students may receive credit for EN.601.498 or EN.601.698 , but not both.</t>
  </si>
  <si>
    <t>EN.601.713</t>
  </si>
  <si>
    <t>Future Networks</t>
  </si>
  <si>
    <t>Early networks were used for short message exchanges (Telegraph), and then the world moved to voice telephony. Today, the Internet’s dominant traffic is entertainment video. More and more objects (IoT devices) are connected to the Internet for control and monitoring. With the need for enormous AI computations, new networks with gigantic capacity are being designed and built. These transformations require transferring large amounts of information, rapidly deploying new features, and simpler management.The course will start with a brief introduction to the past networks: telegraph and telephone networks. Then, it will move to today's Internet. Endpoints are not just humans but also objects and machines; the Internet is increasingly becoming a network of objects.The course will mostly focus on how these networks will evolve in the future. New applications such as autonomous driving require networking and computing to be embedded together. This feature is already beginning to be implemented in 5G and 6G networks; 6G will also allow networks to be used as sensors. New technologies such as mobile edge computing, software-defined networking (SDN), network slicing, digital twins, and named-data networking (NDN) enable these advances. Two timely topics – Web 3 and the application of machine learning to networking – have been added. V2X networks will be a strong focus.Students will be required to participate in discussions on this topic. Students will be asked to study new papers and do course projects, which should result in longer-term research projects.Recommended Course Background: A course in computer networks (e.g., EN.601.414 /614 Computer Network Fundamentals).</t>
  </si>
  <si>
    <t>EN.601.714</t>
  </si>
  <si>
    <t>Advanced Computer Networks</t>
  </si>
  <si>
    <t>This is a graduate-level course on computer networks. It provides a comprehensive overview on advanced topics in network protocols and networked systems. The course will cover both classic papers on Internet protocols and recent research results. It will examine a wide range of topics, e.g., routing, congestion control, network architectures, datacenter networks, network virtualization, software-defined networking, and programmable networks, with an emphasize on core networking concepts and principles. The course will include lectures, paper discussions, programming assignments and a research project. Recommended Course Background: One undergraduate course in computer networks (e.g., EN.601.414 /614 Computer Network Fundamentals or the equivalent), or permission of the instructor. The course assignments and projects assume students to be comfortable with programming.</t>
  </si>
  <si>
    <t>EN.601.715</t>
  </si>
  <si>
    <t>Advanced Networks: Internet Measurement</t>
  </si>
  <si>
    <t>This course will be an introduction to Internet measurement, and especially how it relates to security and policy. This course builds on the topics in EN 601.414/614, discussing vulnerabilities of internetworking protocols (BGP), the domain name system (DNS), and HTTPS certificate management. The goal of this course is to learn about current research, and get hands-on experience with real Internet measurement data. This data will help reveal the structure of the modern Internet, and the financial relationships that continue to shape it.Required Course Background: An undergraduate course in computer networks (e.g., EN.601.414 /614 Computer Network Fundamentals or the equivalent), or permission of the instructor.</t>
  </si>
  <si>
    <t>EN.601.716</t>
  </si>
  <si>
    <t>Advanced Topics in Internet of Things</t>
  </si>
  <si>
    <t>This course explores the convergence of computer networks, mobile computing, and embedded systems, with a specific focus on the Internet of Things (IoT). IoT represents a paradigm shift in computing, aiming to bridge the gap between the physical and digital worlds. Its development has opened up new possibilities, including mobile health, smart homes, industrial automation, and more. Throughout the course, students will delve into advanced topics such as IoT networking, mobile and edge computing, embedded machine learning, wireless sensing, human-computer interaction, and mobile health applications. To excel in this course, students are expected to engage in pre-class readings and in-class discussions, and complete a semester-long project. The focus of the course will be on training research philosophy and principles instead of papers' technical details. The course covers multiple disciplines and encourages interdisciplinary projects; students with diverse backgrounds such as computer science/engineering, electrical engineering, biomedical engineering or other related areas are welcomed. [Systems] Recommended Course Background: familiarity with computer system fundamentals, computer networks, signal processing, and mobile computing.</t>
  </si>
  <si>
    <t>EN.601.727</t>
  </si>
  <si>
    <t>Machine Programming</t>
  </si>
  <si>
    <t>Programs are the fundamental medium through which humans interact with computers. With the advent of large language models (LLMs), the automated synthesis of programs is rapidly transforming how we build software. Instead of manual code writing, we specify intent through examples, specifications, and natural language.This course explores both the foundations and frontiers of program synthesis, covering traditional symbolic techniques alongside LLM-driven approaches. Students will study a variety of synthesis paradigms, including example-based, type- and specification-guided, and interactive methods. We will examine how LLMs are applied to general-purpose programming tasks as well as to specialized domains such as theorem proving, program repair, planning, and verification.Throughout the course, students will gain exposure to a wide range of programming languages, from widely-used ones like Python and C, to emerging and domain-specific languages such as Rust, Lean, CodeQL, and PDDL. The course offers a research-oriented perspective combined with hands-on assignments and projects, providing students with both conceptual understanding and practical experience at the intersection of programming languages and machine learning.Required course background: Python proficiency and LLM familiarity.</t>
  </si>
  <si>
    <t>EN.601.734</t>
  </si>
  <si>
    <t>Topics in Machine Learning-Augmented Algorithm Design</t>
  </si>
  <si>
    <t>Artificial intelligence and machine learning hold significant promise for improving algorithmic decision-making across domains. This course will survey recent advances in integrating AI/ML models into algorithm design. We will focus on two different paradigms: algorithms with predictions, which seek to leverage black-box, potentially unreliable predictions to improve performance while maintaining robustness; and learning-based approaches, where AI/ML models are trained to directly perform algorithmic reasoning. Throughout, we will emphasize settings where provable guarantees – such as robustness to prediction error and generalization bounds – can be obtained. Required course background: 601.433/633 Algorithms and 601.475/675 Machine Learning or equivalent.</t>
  </si>
  <si>
    <t>EN.601.740</t>
  </si>
  <si>
    <t>Language-based Security</t>
  </si>
  <si>
    <t>This course will introduce Language-based Security, an emerging field in cyber security that leverages techniques from compilers and program analysis for security-related problems. Topics include but are not limited to: Control-flow and data-flow graphs, Program slicing, Code property graph (CPG), and Control-flow integrity. Students are expected to read new and classic papers in this area and discuss them in class. Recommended backgrounds are Operating Systems and preferably Compilers.</t>
  </si>
  <si>
    <t>EN.601.742</t>
  </si>
  <si>
    <t>Advanced Topics in Cryptography</t>
  </si>
  <si>
    <t>This course will focus on advanced cryptographic topics with an emphasis on open research problems and student presentations.</t>
  </si>
  <si>
    <t>EN.601.743</t>
  </si>
  <si>
    <t>Advanced Topics in Computer Security</t>
  </si>
  <si>
    <t>Topics will vary from year to year, but will focus mainly on network perimeter protection, host-level protection, authentication technologies, intellectual property protection, formal analysis techniques, intrusion detection and similarly advanced subjects. Emphasis in this course is on understanding how security issues impact real systems, while maintaining an appreciation for grounding the work in fundamental science. Students will study and present various advanced research papers to the class. There will be homework assignments and a course project. A college level security or crypto course at Hopkins or any other school is required.</t>
  </si>
  <si>
    <t>EN.601.752</t>
  </si>
  <si>
    <t>Advanced Topics in Single-cell &amp; Spatial Genomics</t>
  </si>
  <si>
    <t>Recent advances in sequencing technologies have enabled scientists to measure DNA, RNA and other diverse molecular modalities from individual cells at an unprecedented scale and resolution. This course will survey machine learning and statistical approaches for analyzing high-dimensional and high-throughput single-cell and spatial sequencing data. Topics include: dimensionality reduction and dynamical systems models for single-cell and spatial RNA sequencing; spatial clustering; multi-sample differential analyses; optimal transport; foundation models; and related topics. Course meetings will be a mix of lectures and student-led presentations/discussions of recent research papers. Students will complete a final project to explore one of the class topics in depth. Prior biology background is not required. Required Course Background: probability and (data science or machine learning).</t>
  </si>
  <si>
    <t>EN.601.760</t>
  </si>
  <si>
    <t>FFT in Graphics &amp; Vision</t>
  </si>
  <si>
    <t>In this course, we will study the Fourier Transform from the perspective of representation theory. We will begin by considering the standard transform defined by the commutative group of rotations in 2D and translations in two- and three-dimensions, and will proceed to the Fourier Transform of the non-commutative group of 3D rotations. Subjects covered will include correlation of images, shape matching, computation of invariances, and symmetry detection. Recommended Course Background: AS.110.201 and comfort with mathematical derivations.No Audits.</t>
  </si>
  <si>
    <t>EN.601.762</t>
  </si>
  <si>
    <t>Multimodal Understanding and Generation</t>
  </si>
  <si>
    <t>This course provides a deep dive into modern Multimodal AI, focusing on models that integrate vision and language data. Topics include visual question answering, generative media (images/video), neuro-symbolic AI, and embodied AI agents. Through weekly paper reviews and a hands-on independent research project, students will gain the technical skills to understand and advance the state-of-the-art in multimodal deep learning.Required Course Background: at least one upper-level/grad course in vision, NLP or machine learning.</t>
  </si>
  <si>
    <t>EN.601.763</t>
  </si>
  <si>
    <t>Advanced Topics in Robot Perception</t>
  </si>
  <si>
    <t>The goal of this course is to explore machine learning and perception algorithms focused on robotic applications. Topics will include robot localization and mapping, pedestrian/obstacle detection/prediction, semantic segmentation, perception-based grasp planning, continual learning for perception algorithms and multimodal sensor fusion. This course will include introductions to the topics by the instructor followed by paper reading and discussions led by the students. In addition, this course will consist of an in-depth semester long project that will emphasize research skills including developing a hypothesis, conducting literature reviews, formulating the problem, defining, and conducting experiments and finally evaluating and reporting results. Required Course Background: Programming, Linear Algebra, Prob/Stat, Computer Vision and (Machine Learning or ML: Deep Learning).</t>
  </si>
  <si>
    <t>EN.601.764</t>
  </si>
  <si>
    <t>Advanced NLP: Multilingual Methods</t>
  </si>
  <si>
    <t>This is a project based course focusing on the design and implementation of systems that scale Natural Language Processing methods beyond English. The course will cover both multilingual and cross-lingual methods with an emphasis on zero-shot and few-shot approaches, as well as ‘silver’ dataset creation. Modules will include Cross-Lingual Information Extraction &amp; Semantics, Cross-Language Information Retrieval, Multilingual Question Answering, Multilingual Structured Prediction, Multilingual Automatic Speech Recognition, as well as other non-English centric NLP methods. Students will be expected to work in small groups and pick from one of the modules to create a model based on state-of-the-art methods covered in the class. The course will be roughly two-thirds lecture based and one-third students presenting project updates periodically throughout the semester.</t>
  </si>
  <si>
    <t>EN.601.768</t>
  </si>
  <si>
    <t>Language Model Agents</t>
  </si>
  <si>
    <t>Recent advancement in language models have given rise to a new generation of autonomous reasoning agents capable of executing valuable and challenging tasks. This advanced graduate course covers the emerging space of agentic systems with an emphasis on “safely confident reasoning". We will jointly study the design of agents and the development of the foundational models that power these systems. We will discuss topics integral to real-world agent deployments, such as efficiency and security concerns, uncertainty quantification and explainability for accountable decision making, indexing and retrieval tools that power agent memory. We conclude by discussing future directions for this emerging technology.Required Course Background: Machine Learning, ML: Deep Learning, ML: Learning Theory, ML: Reinforcement Learning, ML: Artificial System Design and Development, NLP: Self-Supervised Models, or equivalent (grad course in machine learning).</t>
  </si>
  <si>
    <t>EN.601.770</t>
  </si>
  <si>
    <t>AI Ethics and Social Impact</t>
  </si>
  <si>
    <t>AI is poised to have an enormous impact on society. What should that impact be and who should get to decide it? The goal of this course is to critically examine AI research and deployment pipelines, with in-depth examinations of how we need to understand social structures to understand impact. In application domains, we will examine questions like “who are key stakeholders?”, “who is affected by this technology?” and “who benefits from this technology?”. We will also conversely examine: how can AI help us learn about these domains, and can we build from this knowledge to design AI for "social good"? As a graduate-level course, topics will focus on current research including development and deployment of technologies like large language models and decision support tools, and students will conduct a final research project. Required Course Background: At least one graduate-level computer science course in Artificial Intelligence or Machine Learning (including NLP, Computer Vision, etc.), two preferred, or permission of the instructor.</t>
  </si>
  <si>
    <t>EN.601.771</t>
  </si>
  <si>
    <t>Advances in Self-Supervised Statistical Models</t>
  </si>
  <si>
    <t>The rise of massive self-supervised (pre-trained) models has transformed various data-driven fields such as natural language processing, computer vision, robotics, and medical imaging. This advanced graduate course aims to provide a holistic view of the issues related to these models: We will start with the history of how we got here, and then delve into the latest success stories. We will then focus on the implications of these technologies: social harms, security risks, legal issues, and environmental impacts. The class ends with reflections on the future implications of this trajectory.Required Course Background: knowledge equivalent to EN.601.471 /671 or EN.601.465 /665; linear algebra and statistics.</t>
  </si>
  <si>
    <t>EN.601.772</t>
  </si>
  <si>
    <t>Adv Topics in AI for Social Science Discovery</t>
  </si>
  <si>
    <t>This advanced course explores state-of-the-art AI methods for social science research, focusing on LLM-based approaches including synthetic participants, AI-augmented surveys, and computational simulations of human behavior, including historical participants. Students will critically evaluate recent work (2023-2026) through paper discussions and an original research project. Projects will involve empirical work with publication potential, such as replication studies comparing synthetic to human data, meta-analyses of field practices, or development of validation frameworks for the emerging field of AI-augmented social science.Required Course Background: At least one graduate-level computer science course in Artificial Intelligence or Machine Learning (including CSS, NLP, Computer Vision, etc.), two preferred, or permission of the instructor. Students must be comfortable with reading recent research papers and discussing key concepts and ideas.</t>
  </si>
  <si>
    <t>EN.601.773</t>
  </si>
  <si>
    <t>Machine Social Intelligence</t>
  </si>
  <si>
    <t>No other species possesses a social intelligence quite like that of humans. Our ability to understand one another’s minds and actions, and to interact with one another in rich and complex ways, is the basis for much of our success, from governments to symphonies to the scientific enterprise. This course will discuss the principles of human social cognition, how we can use machine learning and AI models to computationally capture these principles, how these principles can help us build human-level machine social intelligence, and how social intelligence can enable the engineering of AI systems that can understand and interact with humans safely and productively in real-world settings. In this seminar course, we will read and discuss literature that cover diverse topics on social intelligence in humans and machines. These include (but are not limited to) social perception, Theory of Mind, multi-agent planning, multi-agent communication, social learning, human-AI teaming, moral judgment, and value alignment.Required Course Background: Linear Algebra, Probability and Statistics, and Calculus; 601.475/675 Machine Learning or EN.601.464 /664 Artificial Intelligence or equivalent.</t>
  </si>
  <si>
    <t>EN.601.774</t>
  </si>
  <si>
    <t>Theory of Replicable Machine Learning</t>
  </si>
  <si>
    <t>Replicability is vital to ensuring scientific conclusions are reliable, but failures of replicability have been a major issue in nearly all scientific areas of study, and machine learning is no exception. In this course, we will study replicability as a property of learning and other statistical algorithms, developing a theory of replicable learning. We will cover recent formalizations of replicability and their relationships to other common stability notions such as differential privacy and adaptive generalization. We will survey replicable algorithms for fundamental learning tasks, and discuss the limitations of replicable algorithms. If time permits, we will discuss replicability in other settings, such as reinforcement learning and clustering, or other useful and related stability notions such as list replicability and global stability.Required Course Background: EN.601.433 /633 Intro Algorithms or instructor permission.</t>
  </si>
  <si>
    <t>EN.601.776</t>
  </si>
  <si>
    <t>Modern Topics in Machine Learning Generalization</t>
  </si>
  <si>
    <t>This course explores modern perspectives on generalization in machine learning, connecting classical statistical learning theory with surprising behaviors of deep and overparameterized models. We study both the theoretical foundations and empirical phenomena, including double descent, benign overfitting, and sequential analysis. Students will engage with recent research papers and carry out projects analyzing generalization in real or simulated settings.</t>
  </si>
  <si>
    <t>EN.601.778</t>
  </si>
  <si>
    <t>Advanced Topics in Causal Inference</t>
  </si>
  <si>
    <t>This course will cover advanced topics on all areas of causal inference, including learning causal effects, path-specific effects, and optimal policies from data featuring biases induced by missing data, confounders, selection, and measurement error, techniques for generalizing findings to different populations, complex probabilistic models relevant for causal inference applications, learning causal structure from data, and inference under interference and network effects. The course will feature a final project which would involve either an applied data analysis problem (with a causal inference flavor), a literature review, or theoretical work. Recommended Course Background: EN.601.447 /677.</t>
  </si>
  <si>
    <t>EN.601.779</t>
  </si>
  <si>
    <t>Machine Learning: Advanced Topics</t>
  </si>
  <si>
    <t>This course will focus on recent advances in machine learning. Topics will vary from year to year. The course will be project focused and involve presenting and discussing recent research papers.</t>
  </si>
  <si>
    <t>EN.601.783</t>
  </si>
  <si>
    <t>Vision as Bayesian Inference</t>
  </si>
  <si>
    <t>This is an advanced course on computer vision from a probabilistic and machine learning perspective. It covers techniques such as linear and non-linear filtering, geometry, energy function methods, markov random fields, conditional random fields, graphical models, probabilistic grammars, and deep neural networks. These are illustrated on a set of vision problems ranging from image segmentation, semantic segmentation, depth estimation, object recognition, object parsing, scene parsing, action recognition, and text captioning. Required course background: calculus, linear algebra ( AS.110.201 or equiv.), probability and statistics (AS.550.311 or equiv.), and the ability to program in Python and C++.</t>
  </si>
  <si>
    <t>EN.601.784</t>
  </si>
  <si>
    <t>The Future of Work with AI Systems</t>
  </si>
  <si>
    <t>There are any number of predictions on how AI will impact the future of work, including a national academies study on the topic. However, the fact is that how work is impacted and how it changes depends fundamentally on both what “the work” is, the level of AI performance necessary to create an effective solution, and if or how human support is involved in the solution. The goal of this course is to 1) Explore different application areas of AI – its use in information-intensive tasks, its use in image-intensive tasks, and its use in physical world tasks; 2) Understand the system structures that are being developed to deploy AI – for example how human backup is used to support systems that require high fidelity; 3) Touch on some of the policy and regulatory structures that impact our ability to develop and deploy AI-driven solutions. Students are expected to have some background in AI.</t>
  </si>
  <si>
    <t>EN.601.787</t>
  </si>
  <si>
    <t>Advanced Machine Learning: Machine Learning for Trustworthy AI</t>
  </si>
  <si>
    <t>This course teaches advanced machine learning methods for the design, implementation, and deployment of trustworthy AI systems. The topics we will cover include but are not limit to different types of robust learning methods, fair learning methods, safe learning methods, and research frontiers in transparency, interpretability, privacy, sustainability, AI safety and ethics. Students will learn the state-of-the-art methods in lectures, understand the recent advances by critiquing research articles, and apply/innovate new machine learning methods in an application. There will be homework assignments and a course project. Recommended course background: EN.601.475 /675.</t>
  </si>
  <si>
    <t>EN.601.788</t>
  </si>
  <si>
    <t>Machine Learning for Healthcare</t>
  </si>
  <si>
    <t>This course surveys the technical and practical challenges of applying machine learning in healthcare, focusing on two themes: The first theme will cover applications of machine learning to a wide range of healthcare data modalities (e.g., medical imaging, structured health records, etc). Beyond reviewing specific modeling approaches, we will focus on navigating pitfalls in model development and evaluation that arise in a healthcare context. The second theme will cover methodological approaches to developing safe and effective machine learning systems in healthcare, including topics such as (but not limited to) causality, fairness, and distribution shift. This course is designed for students who have a solid existing background in machine learning, and who are interested in both the technical and practical nuances of applying machine learning in healthcare. Grading will be done on the basis of homework assignments as well as a final project.Required course background: EN.601.475 /675 Machine Learning or equivalent.</t>
  </si>
  <si>
    <t>EN.601.790</t>
  </si>
  <si>
    <t>Advanced Human-Computer Interaction: Research Methods</t>
  </si>
  <si>
    <t>This course is specifically tailored for graduate students, especially PhD students, to provide them with a comprehensive review of Human-Computer Interaction (HCI) research. The course covers foundations and frontiers in HCI research. Core topics include interaction, social computing, and AI+HCI; breadth topics include collaboration, conversational interactions, ubiquitous and tangible computing, and accessibility. We will examine research methods, philosophies of research, and diverse ways of knowing to build foundational concepts and analytical skills for engaging in and understanding human-computer interaction research. Students will read research papers and methodological theory and engage in critical writing, group discussion, and oral presentations. Students will gain knowledge in learning and practicing commonly used methodologies in HCI, such as interview, field and lab experiment design, and qualitative and quantitative analysis methods.Required Course Background: 601.490/690 or permission.</t>
  </si>
  <si>
    <t>EN.601.792</t>
  </si>
  <si>
    <t>Advanced Topics in Conversational User Interfaces</t>
  </si>
  <si>
    <t>As a critical component of human-computer interaction, conversational user interfaces (CUIs) have the potential to revolutionize the way we interact with technology. This course is designed for graduate students who want to gain a deeper understanding of CUIs and their real world applications. Throughout the course, students will explore cutting-edge research and methodologies for designing, implementing, and evaluating CUIs. Various forms of conversational interface will be covered, including chatbots, voice assistants, and multimodal dialogue systems. Coursework will include short open-ended assignments focused on applying methods learned in class, reading recent papers, and a course project. Required course background: EN.601.490 /690 Intro HCI or permission.</t>
  </si>
  <si>
    <t>EN.601.794</t>
  </si>
  <si>
    <t>Privacy Technology, Design, and Law</t>
  </si>
  <si>
    <t>Privacy has long been considered as a fundamental human right. Emerging technologies such as social media, smart grid, Internet of Things, drones, and self-driving cars have raised heightened privacy issues. Recent developments of regulations such as the European Union's General Data Protection Regulation (GDPR) and California Consumer Privacy Act (CCPA) is also drawing increasing attention from technologists, policymakers, and the media. How to protect people's privacy is a key challenge of our time. This course provides an in-depth look into privacy, privacy laws and regulations, privacy-enhancing technologies and mechanisms, and privacy design. Privacy will be examined from historical, philosophical, cultural, legal, economic, behavioral, and technical perspectives. This course is designed primarily for graduate students who are interested in privacy and are from a wide range of disciplines such as information science, computer science and engineering, law, business, media studies, economics, politics, and psychology. Recommended course background: EN.601.443 /643 Security &amp; Privacy or equivalent.</t>
  </si>
  <si>
    <t>EN.601.796</t>
  </si>
  <si>
    <t>Social Computing</t>
  </si>
  <si>
    <t>This course is designed for graduate students, particularly PhD students, to provide a comprehensive introduction to social computing research. The course covers how social computing systems shape human interaction, information exchange, collaboration, and collective behavior in online environments. Core topics include social influence and network effects, collaborative and peer production systems, algorithmic curation, content amplification, and online social dynamics. Additional topics include governance and content moderation, online information integrity, auditing of socio-technical systems, antisocial behavior online, and social AI systems.Students will read research papers and engage in writing, group discussion, and oral presentations. The goal of the course is to provide students with the foundations for understanding and extending the current state of the art in social computing research.Required Course Background: At least one graduate-level computer science course in a related area such as HCI, data science, machine learning. Students must be comfortable with reading recent research papers, critically analyzing empirical methods and discussing key concepts and ideas.</t>
  </si>
  <si>
    <t>robotics-autonomous-systems</t>
  </si>
  <si>
    <t>EN.665.645</t>
  </si>
  <si>
    <t>Artificial Intelligence for Robotics</t>
  </si>
  <si>
    <t>This course provides an in-depth exploration of artificial intelligence (AI) techniques applied to robotics. Students will gain a comprehensive understanding of the intersection between AI and robotics, covering topics such as perception, planning, control, learning algorithms including deep learning and generative models, and co-operation (swarms). Practical applications of AI in robotics will be emphasized, and students will have hands-on experience with implementing AI algorithms for robotic systems.</t>
  </si>
  <si>
    <t>EN.665.681</t>
  </si>
  <si>
    <t>Application of Sensing Systems</t>
  </si>
  <si>
    <t>This course will cover the core concepts and applications of sensing systems. These include problem identification, communication, process control, types of sensors and how they work, sensor data collection techniques, data acquisition protocols, signal processing, system design (low power and mobile), machine learning, and applications including but not limited to smart health, gesture interaction, robotics, and automotive. The course is geared towards giving students direct experience in building sensing systems to act and respond (using machine learning) to information in the environment and solving programming and analytical challenges with data collected from multiple sensors. The course emphasizes an understanding of both data (using systems theory, probability, and simulation), algorithms (using synthetic and real data sets) and hardware (using IoT devices). The assignments weigh conceptual (assessments, readings, discussions, and projects) and practical (labs, problem sets) understanding equally. Prerequisites ( AS.110.109 Calculus II, EN.605.206 . Introduction to Programming Using Python, and some knowledge of databases and circuits)</t>
  </si>
  <si>
    <t>EN.665.684</t>
  </si>
  <si>
    <t>Capstone Robotic Systems Development</t>
  </si>
  <si>
    <t>This course introduces the fundamentals of the Robot Operating System (ROS 2) for building and controlling robotic systems. Key concepts include ROS 2 architecture, communication between nodes, simulation, and software engineering best practices. Topics in ROS 2 architecture cover packages, nodes, topics, services, and actions. Communication topics explore the publisher-subscriber model, message types, and inter-process communication. Simulation topics cover Gazebo, RViz, and other visualization tools to test and visualize robot behaviors. Throughout the course, students will be exposed to the problem-solving skills needed for a career in software and robotics engineering. Through weekly exercises and a final project, students will gain practical experience developing, controlling, and simulating robots using ROS 2.</t>
  </si>
  <si>
    <t>EN.665.713</t>
  </si>
  <si>
    <t>Embodied Intelligence: Robotics in Unstructured Worlds</t>
  </si>
  <si>
    <t>Embodied Intelligence is an advanced exploration of AI systems that perceive, act, and learn through direct interaction with the physical world. It combines machine learning, computer vision, robotics, and language technologies (NLP and Generative AI). Unlike traditional AI, which relies on abstract models and symbolic reasoning, this course focuses on intelligence as an emergent property of real-world interaction. By integrating perception, movement, and decision-making, embodied systems develop a richer understanding of their environments and execute tasks with greater adaptability. This course covers key principles of embodied AI, including multimodal sensory processing, behavior-driven intelligence enabled by ML, deep Learning and Generative AI, and robotics in unstructured environments. Students will explore the interplay between perception and action, studying techniques in vision-language navigation, embodied task completion, adaptive control, and learning from experience. Core topics include sensorimotor coordination, real-time decision-making, spatial reasoning, and the role of physical embodiment in shaping AI capabilities. Through hands-on projects, homework and critical discussions, students will gain a deep understanding of how AI systems, especially Generative AI [LLMs, Multi-modal Large Models (MLMs) and World Models (WMs)], can be designed to interact with the physical world. By the end of the course, students will be able to develop intelligent agents that integrate perception, action, and learning to operate effectively in dynamic, real-world settings.</t>
  </si>
  <si>
    <t>EN.665.715</t>
  </si>
  <si>
    <t>Embodied Agentic AI for Robotic Control</t>
  </si>
  <si>
    <t>This graduate-level course explores the cutting-edge intersection of large language models (LLMs) and robotic control systems, focusing on how AI agents can autonomously execute real-world robotic tasks. Students will gain hands-on experience designing, implementing, and evaluating agentic AI systems that bridge the gap between natural language understanding and physical robot manipulation. Through a combination of theoretical foundations and practical experimentation, students will work with physical robotic arm kits equipped with IMU sensors, learning to develop AI agents using industry-standard frameworks (Microsoft AgentFramework). The course emphasizes rigorous evaluation methodologies, teaching students to assess AI performance using precision, recall, F1 scores, and statistical significance testing.</t>
  </si>
  <si>
    <t>EN.665.723</t>
  </si>
  <si>
    <t>Multi Robot Systems and Swarm Intelligence</t>
  </si>
  <si>
    <t>This course explores the principles and practical applications of multi-robot systems (MRS) and swarm intelligence (SI), emphasizing the decentralized and autonomous behaviors that drive robotic collaboration. Students will investigate core algorithms inspired by natural systems—like ant colonies and bird flocks—to understand how distributed decision-making and self-organization emerge in robotics. Through simulations and hands-on projects, students will design, implement, and test algorithms for swarm behaviors such as exploration, foraging, and object transport. Key topics include decentralized control, distributed coordination, and autonomous system development, with a focus on environmental perception, self-awareness, and inter-robot communication. Students will gain experience with tools such as Python, ROS 2, and Gazebo, and will apply their knowledge in a capstone project that synthesizes course concepts. The curriculum also addresses the ethical, legal, and societal considerations of deploying robotic swarms in real-world scenarios, including autonomous vehicles, disaster response, and environmental monitoring. By the end of the course, students will be equipped with both the theoretical foundation and practical skills to analyze, design, and implement multi-robot and swarm intelligence systems.</t>
  </si>
  <si>
    <t>EN.665.725</t>
  </si>
  <si>
    <t>Modern Methods for Learning-Based Robotics and Autonomy</t>
  </si>
  <si>
    <t>This graduate-level course explores the application of deep learning to sequential decision-making, including imitation learning, deep reinforcement learning (DRL), and agentic methods. The focus will be on the algorithmic advances over the last decade that have enabled superhuman performance in games (Atari, Go, StarCraft), have been effectively used to tune large language models (LLMs), and have been successfully applied to complex robotic and industrial control tasks. DRL (online and offline, model-free and model-based) and imitation learning (including diffusion policies and conditional flow matching) will be covered in depth, with more advanced topics (RLHF, RLVR, agentic control systems, and VLA models) also being discussed. Students will gain both theoretical knowledge of current strategies for learning-based control and hands-on experience implementing them.</t>
  </si>
  <si>
    <t>EN.665.785</t>
  </si>
  <si>
    <t>Robotic Systems Development with ROS 2</t>
  </si>
  <si>
    <t>This course focuses on the design, development, and control of robotic systems using the Robot Operating System (ROS 2). Emphasis is placed on ROS 2 architecture, inter-node communication, simulation environments, and software engineering practices used in modern robotics applications. Topics include ROS 2 packages and nodes, topics, services, and actions, as well as the publisher–subscriber communication model, message interfaces, and inter-process communication. Students work extensively with simulation and visualization tools such as Gazebo and RViz to model, test, and analyze robot behavior. Through weekly programming assignments and a comprehensive final project, students gain advanced hands-on experience developing, controlling, and simulating robotic systems, while strengthening the problem-solving and system-integration skills expected of professional software and robotics engineers.</t>
  </si>
  <si>
    <t>cybersecurity</t>
  </si>
  <si>
    <t>EN.695.601</t>
  </si>
  <si>
    <t>Foundations of Information Assurance</t>
  </si>
  <si>
    <t>Elective (Non-Core Engineering Discipline)</t>
  </si>
  <si>
    <t>This course surveys the broad fields of enterprise security and privacy, concentrating on the nature of enterprise security requirements by identifying threats to enterprise information technology (IT) systems, access control and open systems, and system and product evaluation criteria. Risk management and policy considerations are examined with respect to the technical nature of enterprise security as represented by government guidance and regulations to support information confidentiality, integrity and availability. The course develops the student’s ability to assess enterprise security risk and to formulate technical recommendations in the areas of hardware and software. Aspects of security-related topics to be discussed include network security, cryptography, IT technology issues, and database security. The course addresses evolving Internet, Intranet, and Extranet security issues that affect enterprise security. Additional topics include access control (hardware and software), communications security, and the proper use of system software (operating system and utilities). The course addresses the social and legal problems of individual privacy in an information processing environment, as well as the computer “crime” potential of such systems. The class examines several data encryption algorithms. Course Note(s): This course can be taken before or after EN.605.621 Foundations of Algorithms. It must be taken before other courses in the degree.</t>
  </si>
  <si>
    <t>EN.695.611</t>
  </si>
  <si>
    <t>Embedded Computer Systems-Vulnerabilities, Intrusions, and Protection Mechanisms</t>
  </si>
  <si>
    <t>While most of the world is preoccupied with high-profile network-based computer intrusions, this online course examines the potential for computer crime and the protection mechanisms employed in conjunction with the embedded computers that can be found within non-networked products (e.g., vending machines, automotive onboard computers, etc.). This course provides a basic understanding of embedded computer systems: differences with respect to network-based computers, programmability, exploitation methods, and current intrusion protection techniques, along with material relating to computer hacking and vulnerability assessment. The course materials consist of a set of eight study modules and five casestudy experiments (to be completed at a rate of one per week) and are augmented by online discussion forums moderated by the instructor. This course also includes online discussion forums that support greater depth of understanding of the materials presented within the study modules.</t>
  </si>
  <si>
    <t>EN.695.612</t>
  </si>
  <si>
    <t>Operating Systems Security</t>
  </si>
  <si>
    <t>Have you ever wondered how hardware and software faults could affect the security and privacy of a computing environment? Modern general-purpose operating systems have become the lifeline for business and personal use.Throughout the course, students will examine and analyze the modern security mechanisms (e.g. MACs, ASLR, SMEP/SMAP, CFI, PAC, TPMs, and more) and learn the strengths and weaknesses of each approach, ensuring a solid defense against APTs and rootkits. Examining both software and hardware implementations, students will compare how effective these security components are amongst the major OS vendors. As virtualization has become ubiquitous in computing, students will also utilize KVM to build customized virtual machine solutions. Finally, students will examine how these mechanisms compare and are applied to modern mobile operating systems environments.Prerequisite(s): Familiarity with operating system concepts.</t>
  </si>
  <si>
    <t>EN.695.613</t>
  </si>
  <si>
    <t>Securing Industrial Control Systems</t>
  </si>
  <si>
    <t>This course bridges the gap between Information Technology (IT) and Operational Technology (OT), focusing on cybersecurity for Industrial Control Systems (ICSs) and their critical components. Students will examine different network reference models and assess the growing vulnerabilities of these systems as industries expand connectivity and remote operations. With cyberattacks becoming more advanced and incorporating AI and machine learning, professionals must adapt to this evolving threat landscape. Through lectures, case studies, and hands-on exercises, students will develop essential skills to secure ICS environments, learning how to analyze vulnerabilities, strengthen system defenses, and leverage AI to streamline security responses.Key topics include process variable telemetry (sensors, actuators, controllers), control loops, Distributed Control Systems (DCS), Supervisory Control and Data Acquisition (SCADA), Programmable Logic Controllers (PLCs), Human-Machine Interfaces (HMIs), and safety systems. By studying how ICSs maintain stability during operations and respond to disruptions, students will understand both their resilience and their risks when compromised. The course emphasizes five strategic skill areas: bridging IT/OT environments, conducting strategic risk analysis, adapting to an evolving threat landscape, designing layered security architectures, and implementing proactive and reactive strategies. Together, these skills prepare students to defend critical infrastructure against modern cyber threats while ensuring operational continuity and safety.</t>
  </si>
  <si>
    <t>EN.695.614</t>
  </si>
  <si>
    <t>Security Engineering</t>
  </si>
  <si>
    <t>This course covers cybersecurity systems engineering principles of design. Students will learn the foundational and timeless principles of cybersecurity design and engineering. They will learn why theories of security come from theories of insecurity, the important role of failure and reliability in security, the fundamentals of cybersecurity risk assessment, the building blocks of cybersecurity, intrusion detection design, and advanced topics like cybersecurity situational understanding and command and control. The course develops the student’s ability to understand the nature and source of risk to a system, prioritize those risks, and then develop a security architecture that addresses those risks in a holistic manner, effectively employing the building blocks of cybersecurity systems— prevention, detection, reaction, and attack-tolerance. The student will learn to think like a cyber-attacker so that they can better design and operate cybersecurity systems. Students will attain the skill of systematically approaching cybersecurity from the top down and the bottom up and have confidence that their system designs will be effective at addressing the full spectrum of the cyber-attack space. The course also addresses how the cybersecurity attack and defense landscape will evolve so that the student is not simply ready to address today’s problems, but can quickly adapt and prepare for tomorrow’s. The course is relevant at any stage in a student’s curriculum: whether at the beginning to enable the student to understand the big picture before diving into the details, at the end as a capstone, or in the middle to integrate the skills learned to date.</t>
  </si>
  <si>
    <t>EN.695.615</t>
  </si>
  <si>
    <t>Cyber Physical Systems Security</t>
  </si>
  <si>
    <t>The age of Cyber-Physical Systems (CPS) has officially begun. Not long ago, these systems were separated into distinct domains, cyber and physical. Today, the rigid dichotomy between domains no longer exists. Cars have programmable interfaces, Unmanned Aerial Vehicles (UAVs) roam the skies, and critical infrastructure and medical devices are now fully reliant on computer control. With the increased use of CPS and the parallel rise in cyber-attack capabilities, it is imperative that new methods for securing these systems be developed. This course will investigate key concepts behind CPS including: control systems, protocol analysis, behavioral modeling, and Intrusion Detection System (IDS) development. The course will be comprised of theory, computation, and projects to better enhance student learning and engagement . The course will begin with the mathematics of continuous and digital control systems and then shift the focus to the complex world of CPS, where both a general overview for the different domains (Industrial Control, Transportation, Medical Devices, etc.) and more detailed case studies will be provided . Students will complete a number of projects, both exploiting security vulnerabilities and developing security solutions for UAVs and industrial controllers. Several advanced topics will be introduced including behavioral analysis and resilient CPS.Course Notes: There are no prerequisite courses; however, students will encounter many concepts and technologies in a short period of time. Student should have a basic understanding of python programming, networking, matrices, and Windows and Linux operating systems.</t>
  </si>
  <si>
    <t>EN.695.616</t>
  </si>
  <si>
    <t>This course resides where Information Technology (IT) meets Operational Technology (OT) and introduces the practice of cybersecurity related to Industrial Control Systems (ICSs), their components, and the Purdue Model for ICS network organization. Industrial or OT environments were originally designed to be operated on and tended to with onsite (physical) configuration and support. As the industry evolves and requests for additional connectivity and remote functionality increase, these systems have become more connected and more vulnerable to both physical and remote threats. Students will be introduced to a variety of topics including process variable telemetry (sensors, actuators, controllers), control loops, DCS/SCADA/PLCs, HMIs, data historians, safety systems, and so on. ICSs are meant to provide stability during steady-state operations and respond appropriately to non-steady-state conditions - imagine if employees couldn’t trust the data they see, or the autonomous control was overridden or defeated. Through lectures, real-world cyber-attack case studies, hands-on exercises, and independent research opportunities students will be given the resources to identify and understand ICS vulnerabilities, and best secure ICS environments.</t>
  </si>
  <si>
    <t>EN.695.617</t>
  </si>
  <si>
    <t>Zero Trust Principles and Practice</t>
  </si>
  <si>
    <t>In a world where cyber threats evolve at breakneck speed, traditional security measures can no longer safeguard our digital assets effectively. The time has come to embrace a new approach—welcome to the cutting-edge realm of Zero Trust! This course takes you deep into the heart of modern cybersecurity, exploring the revolutionary concept of Zero Trust. You will uncover its core principles and learn how this paradigm is reshaping the way organizations protect their digital landscapes. Through real-world success stories, you will see Zero Trust in action across industries, demonstrating its transformative impact. As you progress, you will master best practices for implementing Zero Trust frameworks, fortifying your organization’s most critical assets against constantly emerging threats. You will also develop the skills to customize Zero Trust strategies for your unique organizational needs, ensuring scalability and adaptability in an ever-changing security landscape, and gain the expertise needed to outmaneuver cyber adversaries to become a leader in digital security!</t>
  </si>
  <si>
    <t>EN.695.621</t>
  </si>
  <si>
    <t>Public Key Infrastructure and Managing E-Security</t>
  </si>
  <si>
    <t>This course describes public key technology and related security management issues in the context of the Secure Cyberspace Grand Challenge of the National Academy of Engineering. Course materials explain Public Key Infrastructure (PKI) components and how the various components support e-business and strong security services. The course includes the basics of public key technology; the role of digital certificates; a case study that emphasizes the content and importance of certificate policy and certification practices; identification challenges and the current status of the National Strategy for Trusted Identities in Cyberspace; and essential aspects of the key management lifecycle processes that incorporate the most recent research papers of the National Institute of Standards and Technology. Students will examine PKI capabilities and digital signatures in the context of the business environment, including applicable laws and regulations. The course also presents the essential elements for PKI implementation, including planning, the state of standards, and interoperability challenges. The course also provides an opportunity for students to tailor the course to meet specific cybersecurity interests with regard to PKI and participate in discussions with their peers on contemporary cybersecurity topics.</t>
  </si>
  <si>
    <t>EN.695.622</t>
  </si>
  <si>
    <t>Information technology security is a broad field. This course focuses on the foundational technologies that build the Web-based Internet (Web) as we know it today. The goal of this course is to guide the learner to adopt a professional security mindset by applying the techniques of threat modeling, risk assessment, and apply the foundational security principles from the two "triad" models: "confidentiality, integrity, and availability" (CIA) and "authentication, authorization, and accounting" (AAA). The self-motivated learner will investigate vulnerabilities, threats, and mitigations with the objective of protecting the data, applications, frameworks, and the supporting complex technology stacks. Security at this level cannot be achieved by technology alone, the course will provide an opportunity to exercise a smart combination of methodologies and techniques that can build confidence and rapport to champion web security within their IT community. Applicable cryptology, digital certificates, and Public Key Infrastructure will be reviewed. Each module will involve hands-on labs that implement local virtual machines, containers, cloud computing environments, and an operative blockchain enabling the learner to probe more deeply into the cybersecurity challenge of each technology solution. The assignments will involve programming and system configuration thus a novice-level exposure of Python, PHP, JavaScript, Linux Commands, basic Internet architecture and common protocols is recommended. Prerequisite(s): EN.605.202 Data Structures</t>
  </si>
  <si>
    <t>EN.695.623</t>
  </si>
  <si>
    <t>Information Security and Privacy</t>
  </si>
  <si>
    <t>As the world becomes more connected and reliant on digital communications, best security practices are required to maintain the privacy of individual and enterprise systems. This course will focus mainly on network perimeter protection, host-level protection, authentication technologies, intellectual property protection, formal analysis techniques, intrusion detection and other current advanced topics. Emphasis in this course is on understanding how security issues impact real-world systems, while maintaining an appreciation for grounding the work in fundamental science. The course will consist of group exercises and interactive discussions. There will be programming assignments and a course project. Students will also be expected to read assigned research papers and lead a presentation and discussion on at least one research paper.</t>
  </si>
  <si>
    <t>EN.695.624</t>
  </si>
  <si>
    <t>Introduction to Internet of Things Security and Privacy</t>
  </si>
  <si>
    <t>This course explores the security, privacy, and resilience of modern edge computing systems and distributed intelligent environments. Students examine the architectures, communication models, and operational characteristics of connected devices, edge applications, edge–cloud infrastructures, and data-driven platforms operating in heterogeneous and resource-constrained environments. The course emphasizes the identification and analysis of vulnerabilities across communication protocols, software platforms, data pipelines, application-layer interactions, and distributed system integrations. Students evaluate how architectural and design decisions influence attack surfaces, privacy exposure, reliability, and operational risk across modern edge ecosystems. The course also examines the growing integration of artificial intelligence into edge systems and the security challenges introduced by learning-enabled components and autonomous functionality. Topics include adversarial machine learning, model integrity, inference privacy, trust management, secure deployment of AI-enabled services, and risks associated with data-driven decision-making at the edge. Through technical readings, case studies, and applied analysis, students investigate emerging threats and practical defense strategies spanning IoT, cyber-physical systems, autonomous platforms, and distributed AI applications. The course culminates in a comprehensive security design or assessment project focused on realistic intelligent edge system scenarios.</t>
  </si>
  <si>
    <t>EN.695.631</t>
  </si>
  <si>
    <t>AI for Cybersecurity</t>
  </si>
  <si>
    <t>The cybersecurity of the nation’s critical infrastructure is the premier national security issue of our time. Artificial Intelligence (AI) is positioned to help with this problem by serving as a force multiplier for cybersecurity professionals. This course seeks to introduce successful AI approaches to securing enterprise networks through hands-on assignments. This course specifically focuses on the use of machine learning to enhance security in-depth approaches such as spam filtering, phishing detection, network/host intrusion detection, malware/botnet detection, and secure authentication. The course includes an instructor-provided VM that runs on Linux, so students will need familiarity in working with those platforms.</t>
  </si>
  <si>
    <t>EN.695.634</t>
  </si>
  <si>
    <t>Intelligent Vehicles: Cybersecurity for Connected and Autonomous Vehicles</t>
  </si>
  <si>
    <t>New technologies within the automotive industry are fusing the physical, digital, and biological worlds to create intelligent vehicles that are designed to enhance occupants’ experiences and improve driver safety and efficiency and improve pedestrian safety. The success of these commercial and industrial efforts rest in the principles of assured autonomy. These intelligent technologies exist in a connected ecosystem that includes the Transportation, Energy, and Communication sectors. Examples of the interconnectivity capabilities include: Autonomous Vehicle - transducer, interface, and supporting capabilities; Electric Vehicles - grid connected vehicle charging infrastructure; and Vehicle-to-Vehicle and Vehicle-to-Everything Communication Technologies. This course helps students understand the significance of assured autonomy safety and functional correctness of intelligent vehicles throughout the technology’s lifecycle. This course follows a seminar format where students are expected to lead class discussions and write a final report as part of a course project. The course project will teach experimental design and the scientific method. The outcome of the project will be a proposal that, if executed, could result in a workshop-quality publication. Execution of the proposed experiment is encouraged but not required for the class. Proposals will be graded by both the instructor and by classmates. This course is oriented around helping students learn how to make a compelling research contribution to the area of intelligent vehicles and assured autonomy.Students will also learn to critique scientific papers in this research area by reading articles from the literature and analyzing at least one paper in order to lead a class discussion.Prerequisites: This course is suitable for graduate students with little prior experience in the area.</t>
  </si>
  <si>
    <t>EN.695.637</t>
  </si>
  <si>
    <t>Introduction to Assured AI and Autonomy</t>
  </si>
  <si>
    <t>In order to drive a future where artificial intelligence (AI) enabled autonomous systems are trustworthy contributors to society, these capabilities must be designed and verified for safe and reliable operation and they must be secure and resilient to adversarial attacks. Further, these AI enabled autonomous systems must be predictable, explainable and fair while seamlessly integrated into complex ecosystems alongside humans and technology where the dynamics of human-machine teaming are considered in the design of the intelligent system to enable assured decision-making. In this course, students are first introduced to the field of AI, covering fundamental concepts, theory, and solution techniques for intelligent agents to perceive, reason, plan, learn, infer, decide and act over time within an environment often under conditions of uncertainty. Subsequently, students will be introduced to the assurance of AI enabled autonomous systems, including the areas of AI and autonomy security, resilience, robustness, fairness, bias, explainability, safety, reliability and ethics. This course concludes by introducing the concept of human-machine teaming. Students develop a contextual understanding of the fundamental concepts, theory, problem domains, applications, methods, tools, and modeling approaches for assuring AI enabled autonomous systems. Students will implement the latest state-of-the-art algorithms, as well as discuss emerging research findings in AI assurance.</t>
  </si>
  <si>
    <t>EN.695.641</t>
  </si>
  <si>
    <t>Cryptology</t>
  </si>
  <si>
    <t>This course provides an introduction to the principles and practice of contemporary cryptography. It begins with a brief survey of classical cryptographic techniques that influenced the modern development of the subject. The course then focuses on more contemporary work: symmetric block ciphers and the Advanced Encryption Standard, public key cryptosystems, digital signatures, authentication protocols, and cryptographic hash functions. The course also provides an overview of quantum resistant cryptography and, as time permits, other recent developments such as homomorphic encryption. Complexity theory and computational number theory provide the foundation for much of the contemporary work in cryptology; pertinent ideas from complexity and number theory are introduced, as needed, throughout the course.</t>
  </si>
  <si>
    <t>EN.695.642</t>
  </si>
  <si>
    <t>Intrusion Detection</t>
  </si>
  <si>
    <t>This course explores the use of network, host-based intrusion detection and prevention systems (IDS/IPS) as part of an organization's overall cybersecurity posture and threat informed decision strategy. A variety of approaches, models, analysis, technologies, frameworks and algorithms along with the practical concerns of deploying IDS/IPS in an enterprise/legacy IT heterogenous and homogenous environment will be discussed, along with Operational Technology (OT), as-a-service infrastructure, and Internet of Things (IoT’s) enclaves. Topics include the products, architectures, configurations and components of IDS/IPS, host and network-based IDS/IPS, network analysis, technologies, Machine Learning, Linux Firewall IPTables, Uncomplicated Firewalls (UFW), Network Packet Analysis, Cyber Incident Response, IDS/IPS in context, graph theory and Tor Networking. The use of ROC (receiver operating characteristic/curves) to discuss false positives, false negatives, precision recall graphs, and missed detection trade - offs as well as discussions of current research topics will provide a comprehensive understanding of when and how IDS/IPS can complement host and network security. A variety of IDS tools will be used to collect and analyze potential attacks to include; OSSEC, Tripwire, Snort, Suricata, Neo4j, Zeek (new name Bro), Nmap, Keras, Wireshark, delayhost utility, and Rapid Miner. The course will use virtual machines in labs and assignments to provide hands-on experience with IDS including using test data to quantitatively compare different IDS/IPS’s.</t>
  </si>
  <si>
    <t>EN.695.643</t>
  </si>
  <si>
    <t>Introduction to Ethical Hacking</t>
  </si>
  <si>
    <t>This course exposes students to the world of ethical computer hacking by discussing foundational concepts, frameworks, approaches and methods for how systems, assets/devices and networks that can be penetration tested (pen-tested) and assessed for vulnerabilities (i.e., exploited). Adversary motives, behaviors, and ideologies, as well as the history of hacking is explained to better be informed of the evolution of this practice. The Offensive Cyber Kill chain stages and steps, hacking phases, OSI model applicability to hacking, comprehensive discussion of Tactics, Techniques and Procedures (TTP’s) and an overview of what Indicators of Compromises (IOC’s) are is discussed. Fundamental protocol manipulation methods &amp; weakness concepts are taught in order to gain a better appreciation of network/system vulnerabilities, how easily they can be exploited, and to reinforce the knowledge basis of applying Defensive Cyber Operations strategies. The class looks at fundamental hacking approaches through practical exposure via hands-on assignments, lab activities, discussions, &amp; quizzes. The course goal is to learn fundamental principles of reconnaissance, collection, scanning, weaponization, delivery, implant, escalation, pivoting, lateral movement, persistence, command and control (C2) and exploitations that penetration testers use to inform ISSO’s, CSSP’s &amp; mission/system owners of their network/asset/system weaknesses. Course topics include; Ideology/Motives/Behaviors, Penetration Testing Foundations, Ethical Hacking concepts, TTP’s &amp; IOC’s understood, Cryptography and PKI, Web Exploitation, Mobile Devices &amp; DNS attacks, Scanning &amp; Reconnaissance, Network Exploitation, Information Gathering &amp; Social Engineering, Wi-Fi Exploitation, Rootkits, OS Security, Buffer Overflows, Race Conditions, TOC/TOU, and Post Exploitation (escalate/pivot).</t>
  </si>
  <si>
    <t>EN.695.645</t>
  </si>
  <si>
    <t>Mobile Device Forensics</t>
  </si>
  <si>
    <t>This course introduces the student to the field of applied Mobile Device Forensics as practiced by corporate security and law enforcement personnel. The emphasis is on "live" (powered-on) data extraction and analysis of Linux-based Android mobile devices/cell phones with open-source tools. Topics covered include data extraction from a "live" system; cell phone file systems (EXT/YAFFS) and data recovery; cell phone configuration records; Android/Linux log analysis and operating system artifacts; memory dump analysis (NAND); Android Operating System application artifacts to include SMS/MMS messaging apps, contacts list, calendar, Gmail, browser bookmarks/searches, call logs, picture/video, and GPS/maps; installed application artifacts such as Facebook, Twitter, and TikTok; cell phone network forensics; Subscriber Identity Module (SIM) card analysis; and Secure Digital (SD) card analysis.</t>
  </si>
  <si>
    <t>EN.695.646</t>
  </si>
  <si>
    <t>Engineering Runtime Malware Detection</t>
  </si>
  <si>
    <t>This course focuses on fundamental runtime behaviors often attributed to malware executing on a system. The student will be given high level explanations of each of these behaviors and their importance to the malware lifecycle. The students will be exposed to currently support Windows kernel technologies such as minifilters and callback routines. Students will learn how to collect and analyze execution data in real time from the Windows Kernel. The course will also allow students to build their own malware analysis engine for a Windows 10 operating system. The focus of the analysis engine is to detect malware early in its execution based on identification of suspicious behaviors including those discussed in class. The students will be graded on homework and a group semester project to build and test a malware detection analysis engine using log files of malware and benign process executions provided by the instructor. Students will setup a Windows 10 virtual machine with the kernel data collectors for use in their homework. The project will be presented to the class towards the end of the semester. Programming knowledge in a language is required for the homework and semester project. Previous knowledge of Windows system internals, malware is helpful but not required. Students will not be given any malware binaries by the instructor at any time during this course.</t>
  </si>
  <si>
    <t>EN.695.647</t>
  </si>
  <si>
    <t>Cyber Threat Hunting and Intelligence</t>
  </si>
  <si>
    <t>This advanced, hands-on course explores both the theory and practical application of threat hunting and intelligence using endpoint detection and response (EDR), security information and event management (SIEM), and threat intelligence platform (TIP) technologies. Students will learn to identify, analyze, and mitigate advanced persistent threat and eCrime activity through realistic scenarios based on real-world threats. They will explore indicator and structured hunting techniques across the network, Windows, Linux, macOS, cloud, and containers. Additionally, students will learn to apply intelligence frameworks like the Diamond Model and structured analytic techniques to correlate and attribute activity. Ideal for those seeking to sharpen their skills in both threat hunting and tactical intelligence analysis, this course prepares students to tackle sophisticated cyber threats head-on.</t>
  </si>
  <si>
    <t>EN.695.648</t>
  </si>
  <si>
    <t>Cyber Strategy and Leadership</t>
  </si>
  <si>
    <t>This course is designed to help create the next generation of executive leaders in cyber security who can build and run effective information security programs. The target audience for this course is someone with 5+ years of previous Cyber Security-related work experience. This course will teach students how to rise above the Individual Contributor level by learning technical, leadership, strategic, and political skills in cyber security. To enable such activities the class focuses on teaching the various knowledge, skills, and abilities that a Chief Information Security Officer needs to demonstrate. Students will be well-prepared to step into a CISO role, allowing them to create, update and maintain successful cybersecurity programs in any organization.</t>
  </si>
  <si>
    <t>EN.695.653</t>
  </si>
  <si>
    <t>Cyber-Threat Intelligence</t>
  </si>
  <si>
    <t>Each year, cybercriminals steal hundreds of billions of dollars’ worth of information from major companies and governments while terrorist organizations exploit cyber-networks to distribute propaganda and recruit, making it imperative to prepare the next generation of intelligence professionals to understand the ever-growing cyber-threat landscape. This course introduces students to Cyber Threat Intelligence (CTI) by exploring foundational concepts, frameworks, and methodologies used to provide decision-makers with critical insights into evolving security challenges. Students will examine the scope of threat intelligence, maturity models, lifecycles, and standards, while also engaging with data collection strategies, intelligence sources, and platforms that enable sharing, collaboration, and analysis. Core topics include indicators of compromise, adversary behaviors, and the ways observables inform strategic and operational decisions. Emphasizing both public and private sector applications, the course highlights how governments and companies alike rely on CTI to defend against advanced persistent threat groups, cybercriminals, and terrorist organizations. Readings cover intelligence, analysis, cyber operations, and the diverse methods malicious actors employ to conduct their attacks, equipping students with the knowledge to better navigate and mitigate today’s complex cyber threat environment.</t>
  </si>
  <si>
    <t>EN.695.711</t>
  </si>
  <si>
    <t>Java Security</t>
  </si>
  <si>
    <t>This course examines security topics in the context of the Java language with emphasis on security services such as confidentiality, integrity, authentication, access control, and nonrepudiation. Specific topics include mobile code, mechanisms for building “sandboxes” (e.g., class loaders, namespaces, bytecode verification, access controllers, protection domains, policy files), symmetric and asymmetric data encryption, hashing, digital certificates, signature and MAC generation/verification, code signing, key management, SSL, and object-level protection. Various supporting APIs are also considered, including the Java Cryptography Architecture (JCA) and Java Cryptography Extension (JCE). Security APIs for XML and web services, such as XML Signature and XML Encryption, Security Assertions Markup Language (SAML), and Extensible Access Control Markup Language (XACML), are also surveyed. The course includes multiple programming assignments and a project.</t>
  </si>
  <si>
    <t>EN.695.712</t>
  </si>
  <si>
    <t>Authentication Technologies</t>
  </si>
  <si>
    <t>Authentication plays a strong role in cybersecurity, and is a critical layer underpinning the “CIA triad.” This course will explore current technologies, issues, and policies surrounding practical authentication. Grouped by something you know, something you have, and something you are, topics will include passwords, certificates and public key infrastructures, graphical authentication, smart cards, biometrics, trusted computing, location authentication, identity federation, and a range of other topics determined by class interest. Each topic will be examined from the perspective of technical strengths, weaknesses, mitigations, and human factors, and will include discussions of authentication policies, trends, and privacy perspectives. Related background is developed as needed, allowing students to gain a rich understanding of authentication techniques and the requirements for using them in a secure environment including systems, networks, and the Internet. Students will prepare and present a research project that reflects an understanding of key issues in authentication. Recommended: EN.695.621 Public Key Infrastructure and Managing E-Security.</t>
  </si>
  <si>
    <t>EN.695.715</t>
  </si>
  <si>
    <t>Assured Autonomy</t>
  </si>
  <si>
    <t>Autonomic systems leverage the growing advances in control, computer vision, and machine learning coupled with technological advances in sensing, computation, and communication. While this emerging highly connected, autonomous world is full of promise, it also introduces safety and security risks that are not present in legacy systems. This course focuses on the complexities inherent in autonomous systems and the multifaceted and multilayered approaches necessary to assure their secure and safe operation. As these systems become more pervasive, guaranteeing their safe operation even during unforeseen and unpredictable events becomes imperative. There are currently no real solutions to provide these runtime guarantees necessitating cutting-edge research to provide state awareness, intelligence, control, safety, security, effective human-machine interaction, robust communication, and reliable computation and operation to these systems. This online course in a seminar-style format leads the students to participate in learning activities, record summary presentation of a selection of papers, write a peer-reviewed publication-quality paper, and record a workshop presentation for virtual panel review.</t>
  </si>
  <si>
    <t>EN.695.721</t>
  </si>
  <si>
    <t>Network Security</t>
  </si>
  <si>
    <t>This course covers concepts and issues pertaining to network security and network security architecture and evolving virtualization and related cloud computing security architecture. Topics include mini cases to develop a network security context. For example, we will assess the NIST (National Institute of Standards and Technology) unified information security framework. This framework is supported by information security standards and guidance, such as a risk management framework (RMF) and continuous monitoring (CM) process. Applied cryptography and information security—encryption algorithms, hash algorithms, message integrity checks, digital signatures, security assessment and authentication, authorization and accounting (AAA), security association, and security key management (generation, distribution, and renewal)—are discussed with consideration given to emerging cryptographic trends, such as SD-WAN (Software-Defined Wide Area Networks). This course presents network and network security architecture viewpoints for selected security issues, including various security mechanisms, different layers of wired/wireless security protocols, different types of security attacks and threats and their countermeasures or mitigation, Next Generation Network (NGN) security architecture that supports the merging of wired and wireless communications, and Internet Protocol version 6 implementation and transition. The course concludes with more comprehensive cases that consider network security aspects of virtualization and cloud computing architecture.</t>
  </si>
  <si>
    <t>EN.695.722</t>
  </si>
  <si>
    <t>Covert Channels</t>
  </si>
  <si>
    <t>This course will be a survey course for covert channels and information leakage (side channel) with hands-on investigations into building and defeating covert channels. We will begin with the long history of covert channels dating back to the 1970’s up to the present and beyond by looking at current research in this area. We will explore both storage and timing covert channels and information leakage from general purpose computers, mobile devices, and modern industrial control system devices. It is necessary to be able to write code in at least 1 language (python is preferred), be familiar with computer networking and the use of network packet sniffers.</t>
  </si>
  <si>
    <t>EN.695.723</t>
  </si>
  <si>
    <t>Advanced Web Security</t>
  </si>
  <si>
    <t>This course reviews the basic knowledge of the World Wide Web, and then examines advances in the central defense concepts behind Web security, such as same-origin policy, cross-origin resource sharing, and browser sandboxing. Concurrently, we will also explore the most popular Web vulnerabilities, such as cross-site scripting (XSS) and SQL injection, as well as how to attack and penetrate software with such vulnerabilities. You will learn how to detect, respond, and recover from security incidents. Newly proposed research techniques will be investigated with students demonstrating their understanding through discussions and peer evaluated exercises.</t>
  </si>
  <si>
    <t>EN.695.724</t>
  </si>
  <si>
    <t>Medical Device Security</t>
  </si>
  <si>
    <t>EN.695.737</t>
  </si>
  <si>
    <t>AI for Assured Autonomy</t>
  </si>
  <si>
    <t>This is an introductory course in Artificial Intelligence It teaches the basic concepts, principles, and fundamental approaches to Artificial Intelligence. Its main topics include AI Fundamentals, Probability and Statistics, Python Essentials, Supervised Machine Learning, Unsupervised Machine Learning, Neural Networks, Reinforcement Learning, Deep Learning, Natural Language Processing, Decision Tree/Search Algorithms and Intro to Assured Autonomous Systems. Prerequisites: The student should have taken an undergraduate level course on, or be otherwise familiar with, operating systems and networks. Prior programming experience with C, Python or Java is highly recommended. Knowledge of algebra and discrete mathematics is also recommended.</t>
  </si>
  <si>
    <t>EN.695.738</t>
  </si>
  <si>
    <t>Generative AI for Cybersecurity</t>
  </si>
  <si>
    <t>This course covers basic concepts, principles, and fundamental approaches needed to have a thorough understanding of the complex interplay between generative AI and cybersecurity.. The main topics include Natural Language Processing, Large Language Models, Foundation Models, Generative Pretrained Transformers(GPTs), Diffusion Models, Variational Auto Encoders, Generative Adversarial Networks(GANs), Prompt Engineering, Self-Supervised Learning, Misuse &amp; Adversarial Attacks, Social Engineering and the Future State of Gen AI and current Obstacles. Assignments, quizzes, exams, and projects will reinforce the learning experience, helping students grasp various concepts, the role of Generative AI in cybersecurity, and their practical applications.</t>
  </si>
  <si>
    <t>EN.695.739</t>
  </si>
  <si>
    <t>Generative AI and Synthetic Threats</t>
  </si>
  <si>
    <t>This course covers advanced topics on generative AI and cybersecurity, focusing on AI-based synthetic threats such as disinformation, deepfakes, and social engineering attacks. Through this course, students will learn the fundamentals of genAI-based attack vectors and explore various AI models (text-to text, text-to-image, image-to-image, text-to-video, etc.) Students will use state-of-the-art tools for defending against genAI-based synthetic threats and gains hands-on experience through lab assignments. Finally, students will deep dive into the world of genAI-based synthetic threats by developing their own research project to address a real-world need.</t>
  </si>
  <si>
    <t>EN.695.741</t>
  </si>
  <si>
    <t>Information Assurance Analysis</t>
  </si>
  <si>
    <t>This course exposes students to the world of information assurance analysis by discussing foundational concepts and frameworks that can be used to analyze various technologies, mediums, protocols and platforms. Analysis is a fundamental part of the information assurance process and effective implementation can inform policy, forensic and incident response procedures, and cyber security practices. Students will be able to perform analysis activities by using the theoretical knowledge gained on case studies, assignments, and hands-on labs resulting in a richer understanding for information assurance. Topics include the collection, use, and presentation of data from a variety of sources (e.g., raw network traffic data, traffic summary records, and log data collected from servers and firewalls). This data is used for a variety of analytical techniques, such as collection approach evaluation, population estimation, hypothesis testing, experiment construction and evaluation, and developing evidence chains for forensic analysis. The course will also cover Internet of Things (IoT’s), Artificial Intelligence, Mobile Application Security, addressing, Border Gateway Protocols (BGP), lookups, anonymization, Industrial Control Systems (ICS), as well as analyzing DNS, HTTP, SMTP, and TCP protocols. Students will primarily use SiLK, NetFlow, Wireshark, Splunk, Node-Red IoT framework, and TCPDump tools. Students will also be introduced to various IoT and ICS protocols; WNAN, ZigBee, EMV, and SIGFOX, as well as, CIP, MODBUS, DNP3, OPC, HART, BACnet, and ICCP, respectively.</t>
  </si>
  <si>
    <t>EN.695.742</t>
  </si>
  <si>
    <t>Digital Forensics Technologies and Techniques</t>
  </si>
  <si>
    <t>Digital forensics focuses on the acquisition, identification, attribution, and analysis of digital evidence of an event occurring in a computer or network. This course provides a broader scientific understanding of the technologies and techniques used to perform digital forensics. In particular, various signature extraction techniques, detection, classification, and retrieval of forensically interesting patterns will be introduced. This will be complemented by studying fundamental concepts of data processing technologies like compression, watermarking, steganography, cryptography, and multiresolution analysis. Emerging standards along with issues driving the changing nature of this topic will be explored. Antiforensic techniques that are used to counter forensic analysis will also be covered. Students will be exposed to relevant theory, programming practice, case studies, and contemporary literature on the subject.</t>
  </si>
  <si>
    <t>EN.695.744</t>
  </si>
  <si>
    <t>Reverse Engineering and Vulnerability Analysis</t>
  </si>
  <si>
    <t>Have you ever wondered why software vulnerabilities lead to security issues? Or how malicious actors exploit vulnerabilities? The Reverse Engineering course will help answer these questions and more! Throughout the course, students will use industry standard tools and develop customized solutions to help further binary/code analysis. Using real-world vulnerability classes, students will examine how attackers identify flaws in modern software and exploit these flaws bypassing state-of-the-art protection mechanisms found in modern operating systems. Students will also identify how to patch these issues and develop extensions of protection mechanisms to thwart attacks, raising the bar for the attacker and improving the security posture of a system. Using a combination of static analysis, dynamic analysis, fault injection and fuzzing, this course will provide students with the modern skills needed to help stop attackers!Prerequisite(s): Familiarity with computer architecture concepts.</t>
  </si>
  <si>
    <t>EN.695.745</t>
  </si>
  <si>
    <t>Malware Analysis</t>
  </si>
  <si>
    <t>Attackers and attacker toolchains continue to evolve and make detection and prevention very difficult. Malware analysts are continually examining modern malware to look for commonalities and new 0-day techniques that are used to exploit a system and maintain a strong foothold. Identifying the Indicators of Compromise (IOCs) is important for helping determine the extent of an intrusion as well as helping alert others to similar attacks. Students will utilize advanced analysis techniques, user mode/kernel mode debugging and dynamic analysis to uncover how modern malware operates. Being able to bypass code obfuscation techniques, examine shellcode, identify command-and-control (C2) systems and configuration are critical components for analyzing and stopping malware. In addition, as ransomware has become ubiquitous, students will examine a real-world ransomware attack and develop a customized decryption utility to help a 'customer' recover from a ransomware attack. Throughout the course, relevant operating systems internals will be discussed. By the end of the course, students will have a better understanding of how to identify attacks and reverse engineer tools to uncover the attacker's secrets!</t>
  </si>
  <si>
    <t>EN.695.749</t>
  </si>
  <si>
    <t>Cyber Exercise</t>
  </si>
  <si>
    <t>Students will learn about the nature and purpose of cyber exercises and their role in training and assessing people, teams, technology, and procedures. During the course of the semester, students will design a cyber exercise that meets the specific needs of their organization. At the conclusion of the class, students will have a model template they can use to design, build, and execute their own exercise.</t>
  </si>
  <si>
    <t>EN.695.753</t>
  </si>
  <si>
    <t>Quantum AI for Cybersecurity</t>
  </si>
  <si>
    <t>EN.695.756</t>
  </si>
  <si>
    <t>Computer Forensics and Introductory Research</t>
  </si>
  <si>
    <t>This course introduces the student to the field of applied Computer Forensics as practiced by corporate security and law enforcement personnel. The emphasis is on "dead-box" (powered-off) data extraction and analysis with open-source tools. Topics covered include legal and regulatory issues, forensic imaging and data acquisition from a "dead" system, computer file systems (FAT/NTFS) and data recovery, Windows Registry and configuration records, Windows log analysis and operating system artifacts, memory dump analysis (RAM), software artifacts, computer network forensics, introductory mobile device forensics, case reporting and documentation, end-to-end computer forensic examinations, peer review, and testifying in court. Students will engage in research that includes developing an original tool to support the extraction, organization, and analysis of data from a computer application or file system artifact in support of a criminal forensic examination.</t>
  </si>
  <si>
    <t>EN.695.791</t>
  </si>
  <si>
    <t>Information Assurance Architectures and Technologies</t>
  </si>
  <si>
    <t>This course explores concepts and issues pertaining to information assurance architectures and technologies (IAA), such as a three-level enterprise and cybersecurity architecture offered as one of the security common languages from the National Institute of Standards and Technology (NIST). Key NIST Cybersecurity Center of Excellence (NCCoE) Practice guides pertaining to IAA issues are introduced and analyzed. NIST/NCCoE security guidance and metrics for Zero Trust Architecture (ZTA), continuous diagnostics and mitigation (CDM), and artificial intelligence/machine learning (AI/ML) security guidance and metrics are applied to analysis of selected enterprise and cybersecurity programs, such the Department of Defense (DoD) Zero Trust Reference Architecture, Department of Homeland Security (DHS) Cybersecurity &amp; Infrastructure Security Agency (CISA) Trusted Internet Connections Program (CISA TIC), Federal Aviation Administration (FAA) Air Traffic Modernization (NextGen) process, and Food and Drug Administration (FDA) (for approval of medical devices). Cloud computing security architecture issues for IAA technologies including FedRAMP (Federal Resources Analysis and Management Program) authorization are analyzed. Topics include protecting control systems from non-control systems for information technology (IT) and operational technology (OT) enterprise and cybersecurity risk management. For example, these IT/OT interface issues are critical for the NIST Smart Grid Cybersecurity Strategy, Architecture, and High-Level Requirements. IAA analyses include enterprise Internet of Things (IoT) mobility issues and a virtual laboratory project based on selected Amazon Web Services (AWS) security capabilities for Zero Trust Architecture (ZTA).</t>
  </si>
  <si>
    <t>EN.695.795</t>
  </si>
  <si>
    <t>Capstone Project in Cybersecurity</t>
  </si>
  <si>
    <t>This course permits graduate students in cybersecurity to work with other students and a faculty mentor to explore a topic in depth and apply principles and skills learned in the formal cybersecurity courses to a real world problem. Students will work in self-organized groups of two to five students on a topic selected from a published list. Since students will have selected different courses to meet degree requirements, students should consider the combined strengths of the group in constituting their team. Each team will prepare a proposal, interim reports, a final report, and an oral presentation. The goal is to produce a publication quality paper and substantial software tool. This course has no formal content; each team should meet with their faculty mentor at least once a week and is responsible for developing their own timeline and working to complete it within one semester. The total time required for this course is comparable to the combined class and study time for a formal course. Course prerequisite(s): Seven cybersecurity graduate courses including two courses numbered 695.7xx, all CyS foundation courses, and meeting the track requirement; or admission to the post-master's certificate program. Students must also have permission of a faculty mentor or academic advisor, and the program chair. Course note(s): Students may not receive graduate credit for both EN.695.795 and EN.695.802 Independent Study in Cybersecurity II. This course is only offered in the spring.</t>
  </si>
  <si>
    <t>data_science</t>
  </si>
  <si>
    <t>EN.685.603</t>
  </si>
  <si>
    <t>Foundations of Algorithm Analysis</t>
  </si>
  <si>
    <t>This course equips students with the core mathematical tools needed to design, analyze, and implement data science algorithms. Topics are carefully selected to support the computational, statistical, and analytical foundations of modern algorithmic methods. Key focus areas include linear algebra, discrete mathematics, matrix decompositions, optimization theory, and computational complexity. Through hands-on modeling and problem-solving, students will explore real-world applications, uncover algorithmic insights using matrix and graph theory, and build strong mathematical intuition for data-driven problem solving.</t>
  </si>
  <si>
    <t>EN.685.621</t>
  </si>
  <si>
    <t>Algorithms for Data Science</t>
  </si>
  <si>
    <t>This course offers an in-depth journey through the algorithmic concepts vital for mastering the intricacies of data science. It begins with an intensive examination of algorithm analysis, with a special focus on understanding the runtime complexities essential for addressing real-world data problems. The curriculum encompasses thorough training in data preprocessing, along with foundational knowledge in probability and statistics, equipping students to proficiently clean and interpret data. The course introduces key mathematical transformations such as Eigen decomposition, FFT, DCT, and Wavelets. These tools are crucial for unearthing underlying patterns in data by creating innovative feature spaces. Students will explore a seamless blend of diverse algorithm types, including intelligent algorithms, statistical algorithms, optimization algorithms, graph algorithms, and learning algorithms. This comprehensive approach, enriched with optimization techniques, forms a holistic toolkit for the contemporary Data Scientist. Moving beyond theoretical concepts, the course delves into practical aspects of analysis, visualization, and understanding of complexity classes. Occasional forays into algorithmic proofs enhance the theoretical grounding of students, bridging theory with practical application. The course culminates in modules focused on data modeling and visualization, enabling students to adeptly apply algorithmic techniques to produce insightful and meaningful data representations. Upon completing this course, students will be thoroughly equipped with both practical and theoretical algorithmic strategies, preparing them to confidently address a wide array of challenges in the data science field. Students can only earn credit for one of EN.605.620 , EN.605.621 , or EN.685.621 .</t>
  </si>
  <si>
    <t>EN.685.640</t>
  </si>
  <si>
    <t>Mathematical Reasoning and Structure for Data Science</t>
  </si>
  <si>
    <t>This course provides a rigorous mathematical foundation for the statistical and algorithmic reasoning involved in modern data science. It is designed to prepare students to approach data modeling, simulation, and evaluation with mathematical precision and clarity. Students will explore logic, set theory, combinatorics, linear models from first principles, and essential probability theory with a computational focus. Emphasis is placed on the conceptual structure behind methods such as regression, classification, and clustering, enabling students to understand not only how to use them—but why they work.</t>
  </si>
  <si>
    <t>EN.685.648</t>
  </si>
  <si>
    <t>Data Science</t>
  </si>
  <si>
    <t>This course will cover the core concepts and skills in the interdisciplinary field of data science. These include problem identification and communication, probability, statistical inference, visualization, extract/transform/load (ETL), exploratory data analysis (EDA), linear and logistic regression, model evaluation and various machine learning algorithms such as random forests, k-means clustering, and association rules. The course recognizes that although data science uses machine learning techniques, it is not synonymous with machine learning. The course emphasizes an understanding of both data (through the use of systems theory, probability, and simulation) and algorithms (through the use of synthetic and real data sets). The guiding principles throughout are communication and reproducibility. The course is geared towards giving students direct experience in solving the programming and analytical challenges associated with data science. The assignments weight conceptual (assessments) and practical (labs, problem sets) understanding equally. Prerequisite(s): A working knowledge of Python scripting and SQL is assumed as all assignments are completed in Python.</t>
  </si>
  <si>
    <t>EN.685.652</t>
  </si>
  <si>
    <t>Data Engineering Principles and Practice</t>
  </si>
  <si>
    <t>Data Engineering is the ingestion, transformation, storage and serving of data in ways that enable data scientists or applications to use and derive insights from data. In this course, we will look at various file-based data formats, data collection, data cleansing, data transformation, and data modeling for both relational and NoSQL databases. The course will also cover movement of data into data warehouses and/or data lakes using pipelines and workflow automation. Finally, we will discuss data security, governance, and compliance. The format of this course will be a mix of lectures, hands-on demos, and labs. Upon completing this course, students will have a deeper understanding of what a data engineer does and the various technologies that make up data engineering, along with hands-on experience working with various tools and processes.</t>
  </si>
  <si>
    <t>EN.685.662</t>
  </si>
  <si>
    <t>Data Patterns and Representations</t>
  </si>
  <si>
    <t>This course will explore the practical application of data visualization and representation, employing lenses such as personas, to understand the different purposes of visualizations. Data visualization plays a crucial role in the entire data science process, serving multiple purposes such as communicating results and insights in a clear and understandable way, facilitating preliminary data exploration, and analyzing outcomes from physics-based or machine learning models and simulations. The course will introduce various tools and equip students with the knowledge to effectively choose the most suitable tool for a given problem. We will also explore various essential tools for data visualization, including Microsoft Excel, Python plotting libraries like matplotlib and plotly, Python graphical interfacing libraries such as streamlit, and Tableau, among others. As a Data Scientist, you will often need to collaborate in cross-functional teams of varying levels of technical expertise and with role-specific requirements. To prepare you for a well-rounded career in Data Science, the course project will focus on connecting stakeholders with appropriate visualization methods and techniques, the aim of which is to enhance your skills in data visualization to effectively communicate insights to diverse audiences.</t>
  </si>
  <si>
    <t>EN.685.664</t>
  </si>
  <si>
    <t>Optimization Methods in Data Science</t>
  </si>
  <si>
    <t>This course provides a rigorous, accessible introduction to optimization theory and algorithms, with direct application to data science and machine learning workflows. Topics include linear programming and the simplex method, duality and sensitivity analysis, interior-point methods, network flows, and integer programming via branch and bound. The second half of the course is focused on continuous optimization, which underlies modern machine learning. Topics covered include convex analysis and optimality conditions, gradient descent and line search, Newton and quasi-Newton methods, the stochastic first-order methods central to model training, and constrained optimization through the Karush-Kuhn-Tucker conditions. The course closes with derivative-free methods and heuristics for problems where gradients are unavailable. Throughout, students formulate real-world problems as optimization models, work key algorithms by hand on small instances to build intuition, and implement and analyze them in Python using Jupyter notebooks and the scientific-computing stack, including NumPy, SciPy, and CVXPY. No prior experience with these libraries is assumed or needed.</t>
  </si>
  <si>
    <t>EN.685.701</t>
  </si>
  <si>
    <t>Data Science: Modeling and Analytics</t>
  </si>
  <si>
    <t>This course advances the design of data modeling as it applies to the field of data science while leveraging key concepts from AI, machine learning, and statistics. Data modeling is a combination of various fields which allow the processing of various data types, and representing the data in an expressive way that shows the relationships between data points and intrinsic patterns. The course will show how to identify, design, and implement the modeling process by outlining the framework, determining the appropriate model type, evaluating the model, and representing the outputs in an explainable way. The models used will be based on intelligent algorithms (reasoning, optimization, and pattern recognition), machine learning algorithms (supervised and unsupervised), and statistical methods (descriptive statistics, inferential statistics, multi-variate, and regression). The focus will be developing and applying models using Python-based frameworks to datasets from online resources such as Kaggle, Data.gov, and open-source repositories.</t>
  </si>
  <si>
    <t>EN.685.746</t>
  </si>
  <si>
    <t>Advanced AI Systems Optimization</t>
  </si>
  <si>
    <t>Modern AI systems demand rigorous approaches to optimization, efficiency, and reliability. This course teaches students how to systematically improve the performance of contemporary large AI models by integrating principles from machine learning, experimental design, and statistical optimization. Students will learn foundational and applied concepts including network architectures, hyperparameter tuning, ablation analysis, model distillation, mixture-of-experts (MoE), and fine-tuning strategies. Building on classical statistical tools such as fractional factorial designs and response surface methodology (Montgomery), students will design, execute, and analyze controlled experiments to optimize neural network performance while minimizing computational complexity. The course emphasizes hands-on skills through practical labs and a capstone project in which students apply DOE methods to tune a neural network, ablate ineffective components, and distill the model into an efficient student model. By the end of the course, students will be able to systematically evaluate model architectures, identify drivers of performance, and reduce compute and infrastructure costs without loss of accuracy.</t>
  </si>
  <si>
    <t>EN.685.748</t>
  </si>
  <si>
    <t>Advanced Data Science</t>
  </si>
  <si>
    <t>This course delves deeper into the computational analytics of Data Science by introducing foundational and advanced methods in Bayesian analysis and causal inference through lectures and hands-on exercises. Topics include probabilistic modeling, regression techniques, propensity scores, difference-in-differences, conditional treatment effects, and advanced methods such as panel data analysis, metalearners, and Gaussian processes. Students will learn to construct, evaluate, and diagnose Bayesian and causal models using tools like PyMC3, Bambi, and metalearners. The course emphasizes practical applications, including addressing biases, leveraging panel data, and extending causal analyses to real-world decision-making. Hands-on exercises reinforce critical concepts, and students will synthesize methods to solve complex problems.</t>
  </si>
  <si>
    <t>EN.685.795</t>
  </si>
  <si>
    <t>Capstone Project in Data Science</t>
  </si>
  <si>
    <t>This course permits graduate students in data science to work with a faculty mentor to explore a topic in depth or conduct research in selected areas. Requirements for completion include submission of a significant paper or project. Prerequisite(s): Seven data science graduate courses including two courses numbered 605.7xx or 625.7xx or admission to the post-master’s certificate program. Students must also have permission of a faculty mentor, the student’s academic advisor, and the program chair.</t>
  </si>
  <si>
    <t>electrical_and_computer_engineering</t>
  </si>
  <si>
    <t>EN.525.601</t>
  </si>
  <si>
    <t>Independent Project</t>
  </si>
  <si>
    <t>The 600-level Independent Project course supports technical exploration and skill development through an individually tailored, faculty-supervised project in electrical and computer engineering. The student and supervising faculty member will jointly define the subject matter, study objectives, learning outcomes, and assessment methods, including grading criteria. The project may involve study of instructor-recommended topics using existing lecture materials, textbooks, and journal articles. Learning outcomes will be assessed through agreed-upon quizzes, exams, projects, and/or presentations. The final course grade will be based on the student’s demonstrated mastery of the material as measured by these assessments. The supervising faculty member will determine whether the work meets the course’s academic and scholarly standards. Prior to enrollment, an Independent Project proposal form outlining the scope, assessment plan, and deliverables must be approved by the student’s academic advisor, the supervising faculty member, and the ECE program chair. Students are expected to draw on knowledge from prior EP ECE coursework to inform and support their project.</t>
  </si>
  <si>
    <t>EN.525.603</t>
  </si>
  <si>
    <t>Advanced Topics in Optical Medical Imaging</t>
  </si>
  <si>
    <t>The course will review the recent advances in photonics technologies for medical imaging and sensing. The course is designed for graduate students with a back ground in optics and engineering. The main topics for the course are: Light Source and Devices for Biomedical Imaging; Fluorescence, Raman, Rayleigh Scatterings; Optical Endoscopy and Virtual biopsy; Novel imaging contrast dyes, nanoparticles, and optical clearing reagents; Label-free optical technologies in clinical applications; Neurophotonics and Optogenetics.</t>
  </si>
  <si>
    <t>EN.525.604</t>
  </si>
  <si>
    <t>Introduction to Optical Instruments</t>
  </si>
  <si>
    <t>This course is intended to serve as an introduction to optics and optical instruments that are used in engineering, physical, and life sciences. The course covers first basics of ray optics with the laws of refraction and reflection and goes on to description of lenses, microscopes, telescopes, and imaging devices. Following that basics of wave optics are covered, including Maxwell equations, diffraction and interference. Operational principles and performance of various spectrometric and interferometric devices are covered including both basics (monochromatic, Fabry-Perot and Michelson interferometers), and advanced techniques of near field imaging, laser spectroscopy, Fourier domain spectroscopy, laser Radars and others.</t>
  </si>
  <si>
    <t>EN.525.605</t>
  </si>
  <si>
    <t>Intermediate Electromagnetics</t>
  </si>
  <si>
    <t>This course provides a background in engineering electromagnetics required for more advanced courses in the field. Topics include vector calculus, Poisson’s and Laplace’s equations, Vector potentials, Green’s functions, magnetostatics, magnetic and dielectric materials, Maxwell’s equations, plane wave propagation and polarization, reflection and refraction at a plane boundary, frequency-dependent susceptibility functions, transmission lines, waveguides, and simple antennas. Practical examples are used throughout the course.</t>
  </si>
  <si>
    <t>EN.525.606</t>
  </si>
  <si>
    <t>Electronic Materials</t>
  </si>
  <si>
    <t>This course explores how materials determine the performance, reliability, and limits of electronic devices. Students learn the physics of electronic materials—band structure, carrier transport, and defect impacts—alongside classical and quantum views of electrical and thermal conduction. Topics include advanced CMOS materials (high-k dielectrics, metal gates, strain engineering, interconnects), wide-bandgap semiconductors (SiC, GaN, Ga2O3) for power and RF systems, and magnetic materials for memory, power conversion, and spintronics. Students also gain experience with materials characterization techniques (XRD, SEM/TEM, C-V, I-V, Hall) while examining industry challenges such as harsh-environment reliability, emerging memory technologies (MRAM, PCM, RRAM), and integration issues like diffusion barriers and thermal stability.</t>
  </si>
  <si>
    <t>EN.525.607</t>
  </si>
  <si>
    <t>Intro to Electronic Packaging</t>
  </si>
  <si>
    <t>Topics include fundamentals of electronic packaging engineering and basic concepts in thermal, mechanical, electrical, and environmental management of modern electronic systems. Emphasis is on high-frequency (and high-speed) package performance and its achievement through the use of advanced analytical tools, proper materials selection, and efficient computer-aided design. Packaging topics include die and lead attachment, substrates, hybrids, surface-mount technology, chip and board environmental protection, connectors, harnesses, and printed and embedded wiring boards. Prerequisite(s): An undergraduate degree in a scientific or engineering area, including familiarity with computer-aided design and engineering analysis methods for electronic circuits and systems.</t>
  </si>
  <si>
    <t>EN.525.608</t>
  </si>
  <si>
    <t>Next Generation Telecommunications</t>
  </si>
  <si>
    <t>This course examines voice, data, and video communications through emerging technologies. Considerations include the characteristics and security requirements of the information being encoded, bandwidth requirements and limitations, and transmission standards and equipment. Topics will consider the pragmatics facing the communications system engineer including space, weight, and power. The student will review past and present network architectures and apply trade-off decisions when analyzing new system requirements. Topics include brief histories of telecommunications, speech processing, encoding, digitization, signaling, and transmission; broadband, fiber optics, and wireless network architectures; and encryption, privacy, and security issues. New and disruptive technologies are discussed each offering.</t>
  </si>
  <si>
    <t>EN.525.609</t>
  </si>
  <si>
    <t>Continuous Control Systems</t>
  </si>
  <si>
    <t>This course closely examines classical methods of representation, analysis, and design of continuous control systems, and introduces state-space representation, analysis and design techniques. Topics include dynamic system representation by linear time invariant ordinary differential equations, state-space representation of linear time-invariant systems, block diagrams and signal flow graphs, performance measures, sensitivity, stability, root locus analysis, frequency domain analysis, similarity transformations, controllability, and control design methods. Some practical examples are considered. MATLAB is used as a computational tool. Prerequisite(s): Background in linear algebra and linear differential equations.</t>
  </si>
  <si>
    <t>EN.525.610</t>
  </si>
  <si>
    <t>Microprocessors for Robotic Systems</t>
  </si>
  <si>
    <t>This course examines microprocessors as an integral part of robotic systems. Techniques required for successful incorporation of embedded microprocessor technology are studied and applied to robotic systems. Students will use hardware in a laboratory setting and will develop software that uses features of the microprocessor at a low level to accomplish the real-time performance necessary in robotic applications. Topics will include microprocessor selection, real-time constraints, sensor interfacing, actuator control, and system design considerations. Prerequisite(s): Experience with C programming and a course in digital systems or computer architecture.</t>
  </si>
  <si>
    <t>EN.525.611</t>
  </si>
  <si>
    <t>Modern Convex Optimization</t>
  </si>
  <si>
    <t>Convex optimization is at the heart of many disciplines such as machine learning, signal processing, control, medical imaging, etc. In this course, we will cover theory and algorithms for convex optimization. The theory part includes convex analysis, convex optimization problems (LPs, QPs, SOCPS, SDPs, Conic Programs), and Duality Theory. We will then explore a diverse array of algorithms to solve convex optimization problems in a variety of applications, such as gradient methods, sub-gradient methods, accelerated methods, proximal algorithms, Newton’s method, and ADMM. A solid knowledge of Linear Algebra is needed for this course.</t>
  </si>
  <si>
    <t>EN.525.612</t>
  </si>
  <si>
    <t>Computer Architecture</t>
  </si>
  <si>
    <t>This course focuses on digital hardware design for all major components of a modern, reduced-instructionset computer. Topics covered include instruction set architecture; addressing modes; register-transfer notation; control circuitry; pipelining with hazard control; circuits to support interrupts and other exceptions; microprogramming; computer addition and subtraction circuits using unsigned, two’s-complement, and excess notation; circuits to support multiplication using Robertson’s and Booth’s algorithms; circuits for implementing restoring and non-restoring division; squareroot circuits; floating-point arithmetic notation and circuits; memory and cache memory systems; segmentation and paging; input/output interfaces; interrupt processing; direct memory access; and several common peripheral devices, including analog-to-digital and digital-to-analog converters. A mini-project is required.</t>
  </si>
  <si>
    <t>EN.525.613</t>
  </si>
  <si>
    <t>Fourier Techniques in Optics</t>
  </si>
  <si>
    <t>In this course, the study of optics is presented from a perspective that uses the electrical engineer’s background in Fourier analysis and linear systems theory. Topics include scalar diffraction theory, Fourier transforming and imaging properties of lenses, spatial frequency analysis of optical systems, spatial filtering and information processing, and holography. The class discusses applications of these concepts in non-destructive evaluation of materials and structures, remote sensing, and medical imaging. Prerequisite(s): An undergraduate background in Fourier analysis and linear systems theory.</t>
  </si>
  <si>
    <t>EN.525.614</t>
  </si>
  <si>
    <t>Probability &amp; Stochastic Processes for Engineers</t>
  </si>
  <si>
    <t>This course provides a foundation in the theory and applications of probability and stochastic processes and an understanding of the mathematical techniques relating to random processes in the areas of signal processing, detection, estimation, and communication. Topics include the axioms of probability, random variables, and distribution functions; functions and sequences of random variables; stochastic processes; and representations of random processes. Prerequisite(s): A working knowledge of multi-variable calculus, Fourier transforms, and linear systems theory.</t>
  </si>
  <si>
    <t>EN.525.615</t>
  </si>
  <si>
    <t>Introduction to Embedded Systems</t>
  </si>
  <si>
    <t>This course applies microprocessors as an integral element of system design. Techniques required for successful incorporation of microprocessor technology are studied and used. Hardware and software design considerations that affect product reliability, performance, and flexibility are covered. Students use hardware to gain familiarity with machine and assembly language for software generation, interfacing to a microprocessor at the hardware level, and emulation to check out system performance. Topics include embedded system operational design, case studies in system failures, communications protocols, and hardware/software system tradeoffs. The course is based on the ARM architecture, and the student will do a series of development and interfacing labs. Prerequisite(s): Some experience in designing and building digital electronic systems, familiarity with C programming, and a course in digital systems</t>
  </si>
  <si>
    <t>EN.525.616</t>
  </si>
  <si>
    <t>Communication Systems Engineering</t>
  </si>
  <si>
    <t>In this course, students receive an introduction to the principles, performance and applications of communication systems. Students examine analog modulation/demodulation systems (amplitude - AM, DSB &amp; SSB; and angle - PM &amp; FM) and digital modulation/demodulation systems (binary and M-ary) in noise and interference. Sub-topics include filtering, sampling, quantization, encoding and the comparison of coherent &amp; noncoherent detection techniques to improve signal-to-noise ratio (SNR) and bit error rate (BER) performance. Special topics and/or problems will be assigned that provide knowledge of how communication systems work from a system engineering viewpoint in real-world environments. Prerequisite(s): A working knowledge of Fourier transforms, linear systems, and probability theory. Basic working knowledge of MATLAB.</t>
  </si>
  <si>
    <t>EN.525.617</t>
  </si>
  <si>
    <t>Computation for Engineers</t>
  </si>
  <si>
    <t>Designing algorithms in a finite precision environment that are accurate, fast, and memory efficient is a challenge that many engineers must face. This course will provide students with the tools they need to meet this challenge. Topics include floating point arithmetic, rounding and discretization errors, problem conditioning, algorithm stability, solving systems of linear equations and least-squares problems, exploiting matrix structure, interpolation, finding zeros and minima of functions, computing Fourier transforms, derivatives, and integrals. Matlab is the computing platform.</t>
  </si>
  <si>
    <t>EN.525.618</t>
  </si>
  <si>
    <t>Antenna Systems</t>
  </si>
  <si>
    <t>This course introduces and explains fundamental antenna concepts for both antennas and antenna arrays. Electromagnetic theory is reviewed and applied to antenna elements such as dipoles, loops, and aperture antennas, as well as antenna arrays. Antenna analysis is presented from a circuit theory point of view to highlight concepts such as reciprocity and the implications for transmit and receive radiation patterns. The importance of two-dimensional Fourier transforms is explained and applied to aperture antennas. Basic array constraints are examined through case studies of uniform, binomial, and general amplitude distributions. The concept of beam squint is explained through examination of constant-phase versus constant-time phase shifters. The Rotman lens is discussed as an example of a common beamformer. The class concludes with an explanation of antenna measurements.</t>
  </si>
  <si>
    <t>EN.525.619</t>
  </si>
  <si>
    <t>Introduction to Digital Image and Video Processing</t>
  </si>
  <si>
    <t>This course provides an introduction to the basic concepts and techniques used in digital image and video processing. Two-dimensional sampling and quantization are studied, and the human visual system is reviewed. Edge detection and feature extraction algorithms are introduced for dimensionality reduction and feature classification. High-pass and bandpass spatial filters are studied for use in image enhancement. Applications are discussed in frame interpolation, filtering, coding, noise suppression, and video compression. Some attention will be given to object recognition and classification, texture analysis in remote sensing, and stereo machine vision.</t>
  </si>
  <si>
    <t>EN.525.620</t>
  </si>
  <si>
    <t>Electromagnetic Transmission Systems</t>
  </si>
  <si>
    <t>This course examines transmission systems used to control the propagation of electromagnetic traveling waves with principal focus emphasizing microwave and millimeter-wave applications. The course reviews standard transmission line systems together with Maxwell’s equations and uses them to establish basic system concepts such as reflection coefficient, characteristic impedance, input impedance, impedance matching, and standing wave ratio. Specific structures are analyzed and described in terms of these basic concepts, including coaxial, rectangular, and circular waveguides, surface waveguides, striplines, microstrips, coplanar waveguides, slotlines, and finlines. Actual transmission circuits are characterized using the concepts and analytical tools developed.</t>
  </si>
  <si>
    <t>EN.525.621</t>
  </si>
  <si>
    <t>Introduction to Electronics and the Solid State</t>
  </si>
  <si>
    <t>Fundamentals of solid state and device physics are presented. Topics in solid-state physics include crystal structure, lattice vibrations, dielectric and magnetic properties, band theory, and transport phenomena. Concepts in quantum and statistical mechanics are also included. Basic semiconductor device operation is described with emphasis on the p-n junction. Prerequisite(s): An undergraduate degree in electrical engineering or the equivalent.</t>
  </si>
  <si>
    <t>EN.525.622</t>
  </si>
  <si>
    <t>Introduction to Electronics Prototyping and Design</t>
  </si>
  <si>
    <t>An introduction to prototyping and design of electronic systems, this course introduces students to the theory underlying the phenomena to be considered when implementing a design. Even seemingly simple design decisions have interesting physics driving considerations made (potentially) across the entire design, and this course aims to provide students with the means to engage with those phenomena intentionally, intelligently, and effectively. Emphasis is placed on developing a first-principles understanding of these phenomena, their effects, and how they drive design decisions at every level.Fundamental concepts in electronic device design, such as the practical aspects of driving loads of varying types , reading sensors, layout best practices, etc., will be covered, with extensions into the basics of simple mechanical design (form factor, packaging, fasteners) and computer engineering (configuring microcontrollers, FPGAs, memory considerations). By developing a theoretical foundation grounded in practice, students will be able to determine dynamically the best approach to take when interfacing with an arbitrary transducer, meeting a given requirement, the properties and considerations associated, and what actions to take to maximize the efficacy and robustness of their designs.As an introduction to primarily electrical prototyping and board design, this course introduces students to using CAD tools (both electrical and mechanical) for schematic capture, board design, and basic parametric 3D modeling. While specific tools will be used, the specifics of those tools are not the focus of the course.Course deliverables include design documentation, physical prototypes, and source code (where applicable), with the Final Project deliverables take the place of the final exam. No prerequisites are required, but exposure to design software, general fabrication, and most any programming language will be beneficial.</t>
  </si>
  <si>
    <t>EN.525.623</t>
  </si>
  <si>
    <t>Principles of RF and Microwave Circuits</t>
  </si>
  <si>
    <t>This course addresses foundational microwave circuit concepts and engineering fundamentals. Topics include electromagnetics leading to wave propagation and generation, the transmission line, and impedance/admittance transformation and matching. Mapping and transformation are presented in the development of the Smith Chart. The Smith Chart is used to perform passive microwave circuit design. Microwave networks and s-matrix are presented; Mason’s rules is introduced. Circuits are physically designed using microstrip concepts, taking into consideration materials properties, connectors, and other components.</t>
  </si>
  <si>
    <t>EN.525.624</t>
  </si>
  <si>
    <t>Analog Electronic Circuit Design</t>
  </si>
  <si>
    <t>This course examines the use of passive and active components to perform practical electronic functions. Simple circuits are designed and evaluated emphasizing the characteristics and tolerances of actual components. Devices studied include diodes and bipolar and field effect transistors. Circuit designs are studied in relation to the device characteristics, including small signal amplifiers and oscillators, and linear power supply and amplifier circuits. SPICE modeling is available to students. Prerequisite(s): Undergraduate courses in electricity and magnetism, circuit theory, and linear analysis.</t>
  </si>
  <si>
    <t>EN.525.625</t>
  </si>
  <si>
    <t>Laser Fundamentals</t>
  </si>
  <si>
    <t>This course reviews electromagnetic theory and introduces the interaction of light and matter with an emphasis on laser theory. A fundamental background is established, necessary for advanced courses in optical engineering. Topics include Maxwell’s equations, total power law, introduction to spectroscopy, classical oscillator model, Kramers-Kroenig relations, line broadening mechanisms, rate equations, laser pumping and population inversion, laser amplification, laser resonator design, and Gaussian beam propagation.</t>
  </si>
  <si>
    <t>EN.525.626</t>
  </si>
  <si>
    <t>Feedback Control in Biological Signaling Pathways</t>
  </si>
  <si>
    <t>This course considers examples of the use of feedback control in engineering systems and looks for counterparts in biological signaling networks. To do this will require some knowledge of mathematical modeling techniques in biology, so a part of the course will be devoted to this.</t>
  </si>
  <si>
    <t>EN.525.627</t>
  </si>
  <si>
    <t>Digital Signal Processing</t>
  </si>
  <si>
    <t>This course examines fundamental principles and applications of Digital Signal Processing. Introductory topics include linear, time-invariant systems, discrete-time convolution, and frequency-domain representations of discrete-time signals and systems. Sampling and quantization of continuous-time signals are covered. The Discrete Fourier Transform and efficient algorithms for its computation are studied in detail. The z-transform and its application to linear discrete-time systems analysis is studied. The design of digital filters using the windowing, equiripple, impulse invariance, and bilinear transformation methods is treated, along with the implementation of digital filter difference equations using canonical structures. MATLAB is utilized to demonstrate and implement Digital Signal Processing techniques.Prerequisite(s): A working knowledge of linear systems and Fourier analysis. Familiarity with MATLAB.</t>
  </si>
  <si>
    <t>EN.525.628</t>
  </si>
  <si>
    <t>Compressed Sensing and Sparse Recovery</t>
  </si>
  <si>
    <t>In recent years, compressed sensing (CS) has attracted considerable attention in areas of applied mathematics, computer science, and electrical engineering by suggesting that it may be possible to surpass the traditional limits of sampling theory. CS builds upon the fundamental fact that we can represent many signals using only a few non-zero coe?cients in a suitable basis or dictionary. Optimization can then enable recovery of such signals from very few measurements. Beautiful theoretical results show that structured signals, such as sparse vectors and low-rank matrices, can be recovered from relatively small sets of linear observations. These results raise intriguing possibilities for addressing engineering problems in signal and image processing, and beyond. The goal of this course is to provide students with the theoretical understanding, algorithmic tools, and implementation experience needed to use these tools to solve problems in their own area of interest, or even to begin doing novel work in this area.</t>
  </si>
  <si>
    <t>EN.525.629</t>
  </si>
  <si>
    <t>Discrete-Time Control Systems</t>
  </si>
  <si>
    <t>This course presents a comprehensive introduction to the theory and design of discrete-time control systems. Representation, modeling, and analysis of discrete-time / sampled-data systems are first studied. Then, the design of discrete-time control systems is introduced using both digital design emulation methods (e.g., emulating a continuous-time compensator via zero-pole mapping, hold equivalents, etc.) and direct design (transform) methods using root locus and frequency domain synthesis techniques (e.g., Bode, Nyquist). The “classical” approach to discrete-time control system representation, analysis and synthesis is followed by a discussion of the “modern” approach which includes discrete-time state-space representation of dynamic systems, controllability, observability, similarity transforms, and pole placement via full state feedback methods. Sample rate selection and the effects of quantization are also discussed. As part of this course, the student will research and select (with instructor approval) a conference / journal article or textbook section / chapter discussing an applications-based discrete-time control system concept and / or design process in an area of particular interest to the student. The paper / article should reflect and emphasize one or more of the key topics introduced in this course. The student reviews the paper, implements the concept(s), and develops a final presentation video to be shared with the class. MATLAB will be used in this course for all design and analysis topics; therefore, it is expected that students taking the course have familiarity with MATLAB functional and programming fundamentals.</t>
  </si>
  <si>
    <t>EN.525.630</t>
  </si>
  <si>
    <t>Digital Signal Processing Lab</t>
  </si>
  <si>
    <t>This course builds on the theory of digital signal processing. Opportunities are provided to work on specific applications of digital signal processing involving filtering, deconvolution, spectral estimation, and a variety of other techniques. Students may also suggest their own laboratory topics. Laboratory work involves developing signal processing systems on a personal computer and using them with both real and simulated data. Questions related to hardware realizations are also considered.</t>
  </si>
  <si>
    <t>EN.525.631</t>
  </si>
  <si>
    <t>Adaptive Signal Processing</t>
  </si>
  <si>
    <t>This course explores the use of adaptive filtering algorithms and structures to learn the optimal filter or estimator and track timevarying system dynamics in order to improve the performance over static, fixed filtering techniques. Adaptive systems are implemented as part of the coursework with application to digital communications, beamforming, control systems, and interference cancellation. The final project involves creating an adaptive equalizer for digital communications over a timevarying channel.</t>
  </si>
  <si>
    <t>EN.525.634</t>
  </si>
  <si>
    <t>High Speed Digital Design</t>
  </si>
  <si>
    <t>This course will discuss the principles of signal integrity and its applications in the proper design of high-speed digital circuits. As interconnect data rates increase, phenomena that have historically been negligible begin to dominate performance, requiring techniques that were not previously necessary. This course is designed to give the students the theoretical and simulation tools needed to determine where signal integrity issues may arise, how to prevent such problems, and how to resolve problems when they arise in practice. A partial list of topics includes distributed circuits and lossless transmission lines, nonideal transmission line effects, crosstalk mitigation, differential pairs and modal analysis, I/O circuits and logic standards, and signal coding and waveshaping techniques. Prerequisite(s): Thorough knowledge of digital design and circuit theory. Prior coursework in electromagnetics and Laplace transforms will be helpful.</t>
  </si>
  <si>
    <t>EN.525.636</t>
  </si>
  <si>
    <t>Optics &amp; Photonics Lab</t>
  </si>
  <si>
    <t>This is a on-line laboratory course that teaches students “hands-on” skills in optics and photonics by performing weekly experiments at home using custom kits that make use of 3D printed parts, custom opto-electronic boards and RaspberryPi cameras. Critical skills developed through this process include experimental setup and alignment, data collection and analysis (using MATLAB and ImageJ), and quantification of measurement error. Students work in small virtual teams to enhance the laboratory experience with each team member collecting their own data. Nearly a dozen experiments have been selected to provide students with a solid exposure to fundamental principles in optics and photonics and key applications in imaging, communications, and sensing. The emphasis of each experiment is to provide the ability to make quantitative measurements of key properties that can be compared to theoretical models. Topics include radiometry, geometric optics, photodiode sensing circuits, lockin detection technique, diffraction and interferometry, Fourier optics, Mie scattering, polarization, spectroscopy, visible and infrared imaging, visible light wave communications, and Michelson interferometry.</t>
  </si>
  <si>
    <t>EN.525.637</t>
  </si>
  <si>
    <t>Foundations of Reinforcement Learning</t>
  </si>
  <si>
    <t>The course will provide a rigorous treatment of reinforcement learning by building on the mathematical foundations laid by optimal control, dynamic programming, and machine learning. Topics include model-based methods such as deterministic and stochastic dynamic programming, LQR and LQG control, as well as model-free methods that are broadly identified as Reinforcement Learning. In particular, we will cover on and off-policy tabular methods such as Monte Carlo, Temporal Differences, n-step bootstrapping, as well as approximate solution methods, including on- and off-policy approximation, policy gradient methods, including Deep Q-Learning. The course has a final project where students are expected to formulate and solve a problem based on the techniques learned in class.</t>
  </si>
  <si>
    <t>EN.525.638</t>
  </si>
  <si>
    <t>Introduction to Modern Wireless and Optical Communication Systems</t>
  </si>
  <si>
    <t>This lab-based course introduces students to the modern technology theory and hardware used with communications systems. The course steps through the components of a modern communications architecture using Matlab as a virtual lab and the ADI Pluto software defined radio (provided) as a use at home experimental lab. The student will work with modeling concepts and algorithms in software and hardware. The course focuses on the adaptive signal processing systems at the heart of modern digital wireless, satellite and optical communication systems. As well as the physical and practical impacts of wireless channels, optical transport and practical components. The course reflects modern state of the art communications systems. Example systems using the technology presented are digital cellular, microwave, satellite and optical backhaul and front haul, 5G, wifi, Bluetooth and other communication systems. Experience with MATLAB and or comfort with a programming environment will be very helpful but is not required.</t>
  </si>
  <si>
    <t>EN.525.640</t>
  </si>
  <si>
    <t>Satellite Communications Systems</t>
  </si>
  <si>
    <t>This course presents the fundamentals of satellite communications link design and an in-depth treatment of practical considerations. Existing commercial, civil, and military systems are described and analyzed, including direct broadcast satellites, high throughput satellites, VSAT links, and Earth-orbiting and deep space spacecraft. Topics include satellite orbits, link analysis, antenna and payload design, interference and propagation effects, modulation techniques, coding, multiple access, and Earth station design. The impact of new technology on future systems in this dynamic field is discussed.</t>
  </si>
  <si>
    <t>EN.525.641</t>
  </si>
  <si>
    <t>Computer and Data Communication Networks I</t>
  </si>
  <si>
    <t>This course provides a comprehensive overview of computer and data communication networks, with emphasis on analysis and modeling. Basic communications principles are reviewed as they pertain to communication networks. Networking principles covered include layered network architecture, data encoding, static and multi-access channel allocation methods (for LAN and WAN), ARQ retransmission strategies, framing, routing strategies, transport protocols, and emerging high-speed networks. In, addition, this course will cover some of the routing protocols, such as RIP, OSPF, BGP, and communications protocols such as IEEE 802.3, IEEE 802.11, SIP, DHCP, DNS, SMPT, and HTTP.</t>
  </si>
  <si>
    <t>EN.525.642</t>
  </si>
  <si>
    <t>FPGA Design Using VHDL</t>
  </si>
  <si>
    <t>This lab-oriented course covers the design of digital systems using VHSIC Hardware Description Language (VHDL) and its implementation in Field Programmable Gate Arrays (FPGAs). This technology allows cost-effective unique system realizations by enabling design reuse and simplifying custom circuit design. The design tools are first introduced and used to implement basic circuits. More advanced designs follow, focusing on integrating the FPGA with external peripherals, simple signal processing applications, utilizing soft-core processors, and using intellectual property (IP) cores. Prerequisite(s): A solid understanding of digital logic fundamentals.</t>
  </si>
  <si>
    <t>EN.525.644</t>
  </si>
  <si>
    <t>Optimal Control and Estimation: Theory and Applications</t>
  </si>
  <si>
    <t>Leveraging lectures and coding assignments, this course provides the theoretical foundations and practical application of optimal control and optimal state estimation algorithms for dynamical systems. Foundational topics include Calculus of Variation, Pontryagin’s Minimum Principle, Dynamic Programing (which serve as a basis for modern Reinforcement Learning), and Nonlinear Observer Design. Practical applications include synthesis of Linear Quadratic Regulators (LQR), Model Predictive Controllers (MPC) and Extended Kalman Filters (EKF) which serve as standard algorithms in the fields of robotics, aerospace, and electro-mechanical systems. This course will require both analytical derivation exercises on theoretical concepts, as well as hands-on code development as training for practical algorithm implementation. Working knowledge in vector calculus, ordinary differential equations, and linear algebra is required. Continuous Control Systems ( EN.525.609 or equivalent), helpful but not required. Working knowledge in MATLAB required.</t>
  </si>
  <si>
    <t>EN.525.645</t>
  </si>
  <si>
    <t>Modern Navigation Systems</t>
  </si>
  <si>
    <t>This course explores the use of satellite, terrestrial, celestial, radio, magnetic, and inertial systems for the real-time determination of position, velocity, acceleration, and attitude. Particular emphasis is on the historical importance of navigation systems; avionics navigation systems for high performance aircraft; the Global Positioning System; the relationships between navigation, cartography, surveying, and astronomy; and emerging trends for integrating various navigation techniques into single, tightly coupled systems.</t>
  </si>
  <si>
    <t>EN.525.647</t>
  </si>
  <si>
    <t>Decentralized Control and Consensus in Multi-Agent Systems</t>
  </si>
  <si>
    <t>This course covers the principles, mathematical foundations, and techniques of decentralized control for multi-agent systems, focusing on consensus algorithms, distributed optimization, and robustness. By the end of the course, participants will be equipped to design scalable and robust control strategies for dynamic, interconnected systems.</t>
  </si>
  <si>
    <t>EN.525.648</t>
  </si>
  <si>
    <t>Introduction to Radar Systems</t>
  </si>
  <si>
    <t>This class introduces the student to the fundamentals of radar system engineering. The radar range equation in its many forms is developed and applied to different situations. Radar transmitters, antennas, and receivers are covered. The concepts of matched filtering, pulse compression, and the radar ambiguity function are introduced, and the fundamentals of radar target detection in a noise background are discussed. Target radar cross-section models are addressed, as well as the effects of the operating environment, including propagation and clutter. MTI and pulsed Doppler processing and performance are addressed. Range, angle, and Doppler resolution/accuracy, as well as fundamental tracking concepts, will also be discussed.</t>
  </si>
  <si>
    <t>EN.525.649</t>
  </si>
  <si>
    <t>Smart Grids</t>
  </si>
  <si>
    <t>This course provides a comprehensive introduction to the principles, technologies, and applications of Smart Grids, with a particular emphasis on renewable and sustainable energy integration. Students will examine the design, control, and optimization of decentralized power generation systems. Key topics include energy storage systems, grid interconnection, power system optimization, demand-side management, Microgrid design and operation, and advanced smart grid technologies. The course also incorporates case studies of distributed generation projects to assess their impacts on grid stability, sustainability, and community energy resilience.</t>
  </si>
  <si>
    <t>EN.525.650</t>
  </si>
  <si>
    <t>Introduction to EO/IR Systems</t>
  </si>
  <si>
    <t>This is an introduction course to infrared and electro-optical imaging systems. The prerequisite is an undergraduate degree in electrical engineering. The target audience is for first-year graduate students with an interest in electronic imaging systems. Some basic nomenclature, component descriptions, and performance parameters are introduced. The course begins with some mathematics review, and then follows the light by going through the sources of radiation, the propagation of radiation through the atmosphere, the formation of an image through optics, the conversion of photons to electrical signals via detectors and electronics, the signal processing to enhance the images, and display for human operators and automatic target recognition (ATR). EO/IR sensor design will be discussed. Finally, some examples of EO/IR imagers will be described.</t>
  </si>
  <si>
    <t>EN.525.651</t>
  </si>
  <si>
    <t>Introduction to Electric Power Systems</t>
  </si>
  <si>
    <t>This course introduces and explains fundamentals of electrical power systems design and engineering. Phasors and their application to power systems analysis are reviewed. The concept of the per-unit system is introduced and applied to circuit calculations. Transformers and their application to electrical power transmission and distribution systems will be covered. Transmission line parameters, their calculation, and transmission line modeling are introduced. Steady-state operation of transmission lines is modeled and investigated. Power flow analysis computational techniques are covered. Short-circuit analysis and the method of symmetrical components are introduced. The concept of power system protection and the role of automatic relays will be covered. Primary and secondary distribution systems and substations are introduced. Renewable energy generation and the integration of renewable energy into the modern power grid will be introduced. Prerequisite(s): Course in electrical networks and a course in linear algebra and matrix operations. MATLAB required software. Course Note(s): Matlab is required for this course.</t>
  </si>
  <si>
    <t>EN.525.652</t>
  </si>
  <si>
    <t>Electric Machines and Control for Electrification</t>
  </si>
  <si>
    <t>This course prepares the student for technical understanding of the principles and theory of operation of electric motors and motor controls commonly used for electrification. Various types of electric motors including permanent magnet and synchronous reluctance motors and control schemes are covered in this class. The class addresses key performance metrics in electric motor design and construction. Mobile inverter configuration is covered. The course extensively discusses advanced motor control concepts, and their applications for electrification. We use Simulink &amp; Simscape throughout the course. Lab sessions may be integrated as well.</t>
  </si>
  <si>
    <t>EN.525.653</t>
  </si>
  <si>
    <t>Power System Control, Optimization, and Grid Management</t>
  </si>
  <si>
    <t>This course explores the advanced principles and techniques used in the control, optimization, and management of modern power systems. The course provides an in-depth understanding of key concepts in power system control, including voltage and frequency regulation, load flow analysis, and stability assessment. Students will also study optimization techniques used in power system operation, such as economic dispatch, unit commitment, and optimal power flow (OPF), to minimize costs and improve system efficiency. Throughout the course, students will develop the skills needed to apply optimization and control methods to real-world power system problems.</t>
  </si>
  <si>
    <t>EN.525.654</t>
  </si>
  <si>
    <t>Communications Circuits Lab</t>
  </si>
  <si>
    <t>This online laboratory-based course focuses on modulation/ demodulation (MODEM) aspects of wireless communications systems. This course is designed to enhance the student’s understanding of fundamental communications waveforms and to present methods commonly used to process them. Students will be exposed to various implementations of MODEM circuits used to process waveforms such as FM, FSK, PSK, and QAM. All work is performed remotely via Internet access to the remote laboratory facility located at the Johns Hopkins University. Following an introduction to this remote laboratory implementation, students will conduct a series of laboratory exercises designed to enhance their understanding of material presented in communications engineering courses. Course modules involve the characterization of waveforms and MODEM circuits through lecture, laboratory exercises, analysis, and online discussion. Materials required for this course include a broadband Internet connection, web browser, word processing software (e.g., MS Word or equivalent), and analysis software (e.g., MATLAB or equivalent) used to process and present data collected.</t>
  </si>
  <si>
    <t>EN.525.655</t>
  </si>
  <si>
    <t>Audio Signal Processing</t>
  </si>
  <si>
    <t>This course gives a foundation in current audio and speech technologies, and covers techniques for sound processing by processing and pattern recognition, acoustics, auditory perception, speech production and synthesis, speech estimation. The course will explore applications of speech and audio processing in human computer interfaces such as speech recognition, speaker identification, coding schemes (e.g. MP3), music analysis, noise reduction. Students should have knowledge of Fourier analysis and signal processing.</t>
  </si>
  <si>
    <t>EN.525.656</t>
  </si>
  <si>
    <t>Antenna Design for Space Systems</t>
  </si>
  <si>
    <t>This course presents an engineering approach to the design of antennas for space systems. Students will examine antennas for both large and small space based platforms in earth orbit and beyond. Antenna design is presented in the context of the space environment with particular attention to the flight design and testing cycle, thermal and mechanical considerations, space compatible materials, and high power operation. A primary focus of the course will be single, dual and shaped reflector designs including feed network topologies. Several horn antenna designs including corrugated and multimode horns will be covered as well as feed network components. A variety of other antennas including helices, patches, and arrays will be discussed for applications including: Global Navigation Satellite System (GNSS); Tracking, Telemetry and Command (TT&amp;C); isoflux; smallsat and cubesat antennas. Course Note(s): This course is cross-listed with 675.756 Antenna Design for Space Systems. ECE students can only register for 525.656. Prerequisite(s): An undergraduate- or graduate-level introductory antenna systems course, or with approval of the instructor.</t>
  </si>
  <si>
    <t>EN.525.657</t>
  </si>
  <si>
    <t>Measurement and Instrumentation</t>
  </si>
  <si>
    <t>This course provides students conceptual knowledge about various electronical measuring techniques and how to design instruments based on their requirements. Through this course, students should have in-depth knowledge of common measurement techniques and develop the ability to construct and analyze circuits/components for conditioning, conversion and transmission of analog measurement signals. Students should be able to communicate with industrial instrumentation manufacturers, evaluate sensors, and specify digitized measurement quality (for their given requirements/environment specification). The course culminates with a final project where the student shall design, evaluate, and present their own instrument for evaluation by the instructor (asynchronously).</t>
  </si>
  <si>
    <t>EN.525.658</t>
  </si>
  <si>
    <t>Digital VLSI System Design</t>
  </si>
  <si>
    <t>An introductory course in digital VLSI design in which students design digital CMOS integrated circuits and systems. The class covers transistor, behavioral, and physical level design using a variety of design tools, including transistor level circuit layout and simulation, logic simulation and synthesis with Verilog HDL, and automated placement and routing. Students will learn the fundamentals of CMOS technology and fabrication, as well as apply that knowledge to current challenges in process scaling and manufacturing. The course will use this foundation as a basis for understanding the operation and design of static CMOS inverters, as well as more complicated combinational logic gates and sequential circuits. Subsequently, more complicated functional blocks such as adders, multipliers, and memory arrays are summarized and integrated into designs at higher levels of abstraction using Verilog HDL and highly automated logic synthesis, placement, and routing tools. The class culminates in a final project in which each student designs a more complicated digital system from architecture to final layout. Prerequisite(s): Courses in digital design and circuit design fundamentals (Kirchoff’s laws and circuit analysis). Helpful, but not required, is experience in HDL based design, transistor level design, and using Linux-based systems.</t>
  </si>
  <si>
    <t>EN.525.659</t>
  </si>
  <si>
    <t>Mixed-Mode VLSI Circuit Design</t>
  </si>
  <si>
    <t>This course focuses on transistor-level design of mixed-signal CMOS integrated circuits. After reviewing fundamentals of MOSFET operation, the course will cover design of analog building blocks such as current-mirrors, bias references, amplifiers, and comparators, leading up to the design of digital-to-analog and analog-to-digital converters. Aspects of subthreshold operation, structured design, scalability, parallelism, low power-consumption, and robustness to process variations are discussed in the context of larger systems. The course will include use of Cadence design software to explore transistor operation and to perform functional-block designs, in the process of incrementally designing a data-converter front-end. Prerequisite(s): Familiarity with MOSFET and transistor level circuit design fundamentals.</t>
  </si>
  <si>
    <t>EN.525.661</t>
  </si>
  <si>
    <t>UAV Systems and Control</t>
  </si>
  <si>
    <t>This hardware-supplemented course covers the guidance, navigation- and control principles common to many small fixed-wing and multirotor unmanned aerial vehicles (UAVs). Building on classical control systems and modeling theory, students will learn how to mathematically model UAV flight characteristics and sensors, develop and tune feedback control autopilot algorithms to enable stable flight control, and fuse sensor measurements using extended Kalman filter techniques to estimate the UAV position and orientation. Students will realize these concepts through both simulation and interaction with actual UAV hardware. Throughout the course, students will build a full 6-degree-of-freedom simulation of controlled UAV flight using MATLAB and Simulink. Furthermore, students will reinforce their UAV flight control knowledge by experimenting with tuning and flying actual open-source quadrotor UAVs. Prerequisite(s): Background in control systems (e.g., EN.525.609 Continuous Control Systems) and matrix theory along with a working knowledge of MATLAB. Experience using Simulink is desired. Existing familiarity with C programming language, electronics, and microcontrollers will be helpful but is not required.</t>
  </si>
  <si>
    <t>EN.525.664</t>
  </si>
  <si>
    <t>AC Electric Machinery Fundamentals</t>
  </si>
  <si>
    <t>This course provides a comprehensive study of transformers, three phase synchronous generators and motors, and both three phase and single phase induction motors. It begins with foundational principles—such as Ampère’s and Faraday’s laws—and shows how these laws lead to the operating principles of transformers and electric machinery. Topics include magnetic circuits; equivalent circuits for transformers, motors, and generators; and the development of rotating magnetic fields that underpin three phase machines. The course examines winding types, single phase induction motor behavior, and special purpose transformers including potential transformers, current transformers, and autotransformers. Students analyze voltage regulation and power conversion efficiency and perform open and short circuit test calculations for transformers and AC machines. Additional topics include conditions for paralleling synchronous generators, the use of synchronous motors as synchronous condensers, transient currents under fault conditions, and both static and transient stability. The course concludes with coverage of special motors such as stepper, reluctance, and hysteresis motors.Course Prerequisites: 525.201 or equivalent course in AC Circuit Theory.</t>
  </si>
  <si>
    <t>EN.525.665</t>
  </si>
  <si>
    <t>Machine Perception</t>
  </si>
  <si>
    <t>This course will cover machine perception with a focus on computer vision (i.e., feature detection, stereovision, structure from motion, deep learning object detection) as the primary use case. Additional sensor modalities will be addressed (i.e., radar, lidar) along with data fusion (i.e., Kalman filtering, target tracking) in order to provide a broad understanding of multi-modality machine perception.</t>
  </si>
  <si>
    <t>EN.525.666</t>
  </si>
  <si>
    <t>Linear System Theory</t>
  </si>
  <si>
    <t>This course covers the structure and properties of linear dynamic systems with an emphasis on the single-input, single-output case. Topics include the notion of state-space, state variable equations, review of matrix theory, linear vector spaces, eigenvalues and eigenvectors, the state transition matrix and solution of linear differential equations, internal and external system descriptions, properties of controllability and observability and their applications to minimal realizations, state-feedback controllers, asymptotic observers, and compensator design using state-space and transfer function methods. An introduction to multi-input, multi-output systems is also included, as well as the solution and properties of timevarying systems. Prerequisite(s): Courses in matrix theory and linear differential equations.</t>
  </si>
  <si>
    <t>EN.525.670</t>
  </si>
  <si>
    <t>Machine Learning for Signal Processing</t>
  </si>
  <si>
    <t>This course will focus on the use of machine learning theory and algorithms to model, classify, and retrieve information from different kinds of real world signals such as audio, speech, image, and video.</t>
  </si>
  <si>
    <t>EN.525.671</t>
  </si>
  <si>
    <t>Deep Learning and Generative Artificial Intelligence</t>
  </si>
  <si>
    <t>This course offers a comprehensive introduction to Deep Learning (DL) and Generative Artificial Intelligence (GenAI), focusing on both foundational principles and advanced techniques. Recent breakthroughs in AI, particularly the development of transformers, have drastically enhanced the performance of large language models (LLMs) and vision models. The curriculum combines mathematical theory with practical examples to deepen understanding of DL and GenAI. Key topics include Neural Networks, Convolutional Neural Networks (CNNs), Recurrent Neural Networks (RNNs), Variational Autoencoders (VAEs), Diffusion Models, and Generative Adversarial Networks (GANs). The course will also cover essential methods for training, testing, regularization, and evaluation, as well as advanced subjects like contrastive learning, transfer learning, transformers, and foundation models. Through hands-on projects, students will apply DL and GenAI techniques to real-world problems. Python and PyTorch will be used throughout the course.</t>
  </si>
  <si>
    <t>EN.525.674</t>
  </si>
  <si>
    <t>Image Processing &amp; Analysis</t>
  </si>
  <si>
    <t>This course provides a comprehensive introductory presentation of the fundamentals of image processing and analysis both from a theoretical and a practical point of view. The course covers fundamental methods for the processing and analysis of images and describes standard and modern techniques for the understanding of images by humans and computers. Topics include elements of visual perception, sampling and quantization, image transforms, image enhancement, color image processing, image restoration, edge detection, image segmentation, and multiresolution image representation. MATLAB exercises demonstrate key aspects of the course. Prerequisites: EN.525.202 (Signals and Systems) , or equivalent, and working knowledge of Matlab.</t>
  </si>
  <si>
    <t>EN.525.677</t>
  </si>
  <si>
    <t>Hardware Architectures for DSP Algorithms</t>
  </si>
  <si>
    <t>This course introduces techniques for refining signal processing algorithms to hardware implementations described using a hardware descriptive language. Students design, model and simulate signal processing algorithms through different levels of hardware refinement. Hardware structures for finite impulse filter (FIR), infinite impulse filters (IIR) and adaptive equalizers are studied and analyzed throughout the course. Multi-rate and multi-signal concepts are covered during the course and these concepts are applied to different signal processing techniques. Cut-set retiming methods to generate parallel and systolic array filtering structures are also covered in the course. By the end of the course, students are able to refine a signal processing algorithm targeting hardware platforms such as field programmable gate arrays (FPGA). An understanding of digital signal processing and VHDL for FPGAs is required for this course.</t>
  </si>
  <si>
    <t>EN.525.678</t>
  </si>
  <si>
    <t>Next Generation Mobile Networks and Security with 5G</t>
  </si>
  <si>
    <t>The primary focus of this course is to introduce the next generation mobile networks, including both Cellular and WLAN technologies in great detail, to discuss various types of IP-based mobility protocols, namely Mobile-IP, Mobile IPv6, ProxyMIPv6, SIP-mobility, and Cellular IP, and to explore systems optimization techniques to support seamless handover during Inter RAT handover (e.g., 4G, 5G, and WLAN). Additionally, the course will briefly introduce the principles of cellular communications system and will then move on to describe the evolution of different generations of cellular systems including 2G, 3G, 4G, and 5G as being defined in 3GPP. At the same time it will discuss IEEE WLAN standards as developed by IEEE 802 working group including 802.11 (a, b, g, n) and 802.11 (ax, ay, ac). The Media Independent Handover standard IEEE 802.21 (e.g., integrating WLAN and 3G/4G cellular networks to provide session/service continuity) is also introduced. Further, the course will describe the 4G Long Term Evolution (LTE) in detail, covering its various components—namely Evolved UMTS Terrestrial Radio Access Network (E-UTRAN), EPC (Evolved Packet Network), and IMS (IP Multimedia Subsystem)—and all the associated interfaces and protocols, and the current efforts on 5G evolution and will touch upon various 5G pillars, namely SDN (Software Defined Networking), Network Function Virtualization, Cloud RAN, Network Slicing, Mobile Edge Cloud, and Edge Security. Finally, the course will highlight various standards activities within 3GPP, IEEE, IETF, NGMN, and ITU and will introduce some research problems for future study in the mobility area, presenting various deployment use cases and experimental results from the open-source testbeds.</t>
  </si>
  <si>
    <t>EN.525.681</t>
  </si>
  <si>
    <t>Introduction to AI in Robotics</t>
  </si>
  <si>
    <t>This introduction level course provides an overview of fundamental concepts and practical skills essential for aspiring AI robotics engineers. Students will explore essential topics such as robot kinematics and control systems, while diving into AI topics in perception, reinforcement learning and imitation learning. Each week combines in-depth theoretical lectures with hands-on projects, empowering participants to work with cutting-edge AI robotics technologies, including deep learning and next generation human-robot interfaces. Students will acquire a diverse skill set essential for tackling real-world challenges.</t>
  </si>
  <si>
    <t>EN.525.684</t>
  </si>
  <si>
    <t>Microwave Systems &amp; Receiver Design</t>
  </si>
  <si>
    <t>This course deals with the practical aspects of RF and microwave systems and components. An overview of radar systems is followed by an introduction to communication systems. The majority of the course treats the linear and nonlinear characteristics of individual components and their relation to receiver system performance. Amplifiers, mixers, antennas, filters, and frequency sources are studied, as well as their impact on receiver performance. Top-level receiver designs for a radar system, a wide-band surveillance system, or a communication system application may be studied. Assignments reinforce the course material and may require use of design software. Prerequisite(s): An undergraduate degree in electrical engineering or equivalent.</t>
  </si>
  <si>
    <t>EN.525.691</t>
  </si>
  <si>
    <t>Fundamentals of Photonics</t>
  </si>
  <si>
    <t>This course provides the essential background in photonics required to understand modern photonic and fiber-optic systems. Fundamental concepts established in this course are necessary for advanced coursework as well. Topics include: electromagnetic optics, polarization and crystal optics, guided-wave optics, fiber optics, photons in semiconductors, semiconductor photon sources and detectors, electro-optics and acousto-optics. Prerequisite(s): An undergraduate course in electromagnetic theory.</t>
  </si>
  <si>
    <t>EN.525.707</t>
  </si>
  <si>
    <t>Error Control Coding</t>
  </si>
  <si>
    <t>This course presents error-control coding with a view toward applying it as part of the overall design of a data communication or storage and retrieval system. Block, trellis, and turbo codes and associated decoding techniques are covered. Topics include system models, generator and parity check matrix representation of block codes, general decoding principles, cyclic codes, an introduction to abstract algebra and Galois fields, BCH and Reed-Solomon codes, analytical and graphical representation of convolutional codes, performance bounds, examples of good codes, Viterbi decoding, BCJR algorithm, turbo codes, and turbo code decoding.</t>
  </si>
  <si>
    <t>EN.525.708</t>
  </si>
  <si>
    <t>Iterative Methods in Communications Systems</t>
  </si>
  <si>
    <t>Generalization of the iterative decoding techniques invented for turbo codes has led to the theory of factor graphs as a general model for receiver processing. This course will develop the general theory of factor graphs and explore several of its important applications. Illustrations of the descriptive power of this theory include the development of high performance decoding algorithms for classical and modern forward error correction codes (trellis codes, parallel concatenated codes, serially concatenated codes, low-density parity check codes). Additional applications include coded modulation systems in which the error correction coding and modulation are deeply intertwined as well as a new understanding of equalization techniques from the factor graph perspective.</t>
  </si>
  <si>
    <t>EN.525.712</t>
  </si>
  <si>
    <t>Advanced Computer Architecture</t>
  </si>
  <si>
    <t>This course covers topics essential to modern superscalar processor design. A review of pipelined processor design and hierarchical memory design is followed by advanced topics including the identification of parallelism in processes; multiple diversified functional units in a pipelined processor; static, dynamic, and hybrid branch prediction techniques; the Tomasulo algorithm for efficient resolution of true data dependencies; advanced data flow techniques with and without speculative execution; multiprocessor systems; and multithreaded processors.</t>
  </si>
  <si>
    <t>EN.525.718</t>
  </si>
  <si>
    <t>Multirate Signal Processing</t>
  </si>
  <si>
    <t>Multirate signal processing techniques find applications in areas such as communication systems, signal compression, and sub-band signal processing. This course provides an in-depth treatment of both the theoretical and practical aspects of multirate signal processing. The course begins with a review of discrete-time systems and the design of digital filters. Sample rate conversion is covered, and efficient implementations using polyphase filters and cascade integrator comb (CIC) filters are considered. The latter part of the course treats filter bank theory and implementation, including quadrature mirror, conjugate quadrature, discrete Fourier transform, and cosine modulated filter banks along with their relationship to transmultiplexers.</t>
  </si>
  <si>
    <t>EN.525.721</t>
  </si>
  <si>
    <t>Advanced Digital Signal Processing</t>
  </si>
  <si>
    <t>The fundamentals of statistical signal processing are presented in this course. Topics include matrix factorizations and least squares filtering, optimal linear filter theory, classical and modern spectral estimation, adaptive filters, and optimal processing of spatial arrays.</t>
  </si>
  <si>
    <t>EN.525.722</t>
  </si>
  <si>
    <t>Wireless and Mobile Cellular Communications</t>
  </si>
  <si>
    <t>In this course, students examine fundamental concepts of mobile cellular communications and specifics of current and proposed US cellular systems. Topics include frequency reuse; call processing; propagation loss; multipath fading and methods of reducing fades; error correction requirements and techniques; modulation methods; FDMA, TDMA, and CDMA techniques; microcell issues; mobile satellite systems; GSM, cdmaOne, GPRS, EDGE, cdma2000, W-CDMA, LTE and candidate 5G waveforms.</t>
  </si>
  <si>
    <t>EN.525.724</t>
  </si>
  <si>
    <t>Introduction to Pattern Recognition</t>
  </si>
  <si>
    <t>This course focuses on the underlying principles of pattern recognition and on the methods of machine intelligence used to develop and deploy pattern recognition applications in the real world. Emphasis is placed on the pattern recognition application development process, which includes problem identification, concept development, algorithm selection, system integration, and test and validation. Machine intelligence algorithms to be presented include feature extraction and selection, parametric and non-parametric pattern detection and classification, clustering, artificial neural networks, support vector machines, rule-based algorithms, fuzzy logic, genetic algorithms, and others. Case studies drawn from actual machine intelligence applications will be used to illustrate how methods such as pattern detection and classification, signal taxonomy, machine vision, anomaly detection, data mining, and data fusion are applied in realistic problem environments. Students will use the MATLAB programming language and the data from these case studies to build and test their own prototype solutions.</t>
  </si>
  <si>
    <t>EN.525.725</t>
  </si>
  <si>
    <t>Power Electronics</t>
  </si>
  <si>
    <t>This course is designed to provide students a solid foundation on the fundamentals and principles of power electronics. Analytical modeling and control techniques will be introduced in addition to practical design considerations for switching regulators. Topics include steady state analysis, large and small signal modeling, control loop design, input filter and magnetic design, along with switch realization and efficiency evaluation. Advanced topics such as soft switching and active power factor correction will also be introduced. Each topic will include an in-class modeling and simulation component, utilizing MATLAB/ Simulink, to reinforce concepts and provide the student with a practical design tool for evaluating compliance with typical performance requirements.</t>
  </si>
  <si>
    <t>EN.525.726</t>
  </si>
  <si>
    <t>Applications of Power Electronics Design</t>
  </si>
  <si>
    <t>This course presents applications and practical considerations for the design of power electronic circuits, building on the fundamentals and principles covered in 525.725 Power Electronics. We will go through the step-by-step design and modeling of a synchronous buck converter including the power stage, small-signal model, controller, full simulation, component selection, and magnetics design. Additional topics covered include circuit board layout, peak current mode control, and practical methods of addressing common challenges in power supply circuits. Students gain hands-on experience through lab-based assignments and a design project. All required test equipment will be provided. Students are expected to have basic soldering skills and experience with electronic test equipment (DC power supplies, oscilloscopes, multimeters).</t>
  </si>
  <si>
    <t>EN.525.727</t>
  </si>
  <si>
    <t>Advanced Power Electronics</t>
  </si>
  <si>
    <t>This course extends the fundamental concepts learned during the Power Electronics course by examining advanced power electronics applications. Applications include solar array peak power tracking, dc motor control, three phase electric drive and control, converter soft switching techniques, power factor correction and nonlinear control techniques for optimum dynamic converter performance. Working knowledge of MATLAB’s Simulink is required to demonstrate, through simulation, concepts learned during each module.</t>
  </si>
  <si>
    <t>EN.525.728</t>
  </si>
  <si>
    <t>Detection &amp; Estimation Theory</t>
  </si>
  <si>
    <t>Both hypothesis testing and estimation theory are covered. The course starts with a review of probability distributions, multivariate Gaussians, and the central limit theorem. Hypothesis testing areas include simple and composite hypotheses and binary and multiple hypotheses. In estimation theory, maximum likelihood estimates and Bayes estimates are discussed. Practical problems in radar and communications are used as examples throughout the course.</t>
  </si>
  <si>
    <t>EN.525.732</t>
  </si>
  <si>
    <t>Advanced Analog Electronic Circuit Design</t>
  </si>
  <si>
    <t>This course extends the fundamental concepts of practical electronic circuit design developed in the course 525.624 Analog Electronic Circuit Design, beginning with a review of the general feedback method. Students then examine a range of devices, including operational amplifiers, A/D and D/A converters, and comparators. Applications include active filters, sensor conditioning, nonlinear transfer functions, and analog computation. Students explore these topics through a series of assignments supplemented with breadboard-level experimentation. All required test equipment will be provided to the student.</t>
  </si>
  <si>
    <t>EN.525.733</t>
  </si>
  <si>
    <t>Deep Learning for Computer Vision</t>
  </si>
  <si>
    <t>Recent technological advances coupled with increased data availability have opened the door for a wave of revolutionary research in the field of Deep Learning. In particular, Deep Neural Networks (DNNs) continue to improve on state-of-the-art performance in many standard computer vision tasks including image classification, segmentation, object recognition, object localization, and scene recognition. With an emphasis on computer vision, this course will explore deep learning methods and applications in depth as well as evaluation and testing methods. Topics discussed will include network architectures and design, training methods, and regularization strategies in the context of computer vision applications. Following a seminar format, students will be expected to read, understand, and present recent publications describing the current state-ofthe-art deep learning methods. Additionally, team projects will give students an opportunity to apply deep learning methods to real world problems.Prerequisite(s): Students should have taken courses in computer vision and machine learning/pattern recognition, have basic familiarity with OpenCV, Python and C++, as well as prior class instruction in neural networks.</t>
  </si>
  <si>
    <t>EN.525.735</t>
  </si>
  <si>
    <t>MIMO Wireless Communications</t>
  </si>
  <si>
    <t>This course presents the fundamental concepts and techniques of multiple-input multiple-output (MIMO) communications over wireless communication channels. MIMO communications, which involve the use of multiple antennas at the transmitter and receiver, employ the use of signal processing techniques to enhance the reliability and capacity of communication systems without increasing the required spectral bandwidth. MIMO techniques are currently used or planned in many commercial and military communications systems. Topics include the derivation and application of the theoretical MIMO communications capacity formula; channel fading and multipath propagation; the concepts of transmit and receive space diversity; space-time block coding, with a special emphasis on Alamouti coding; space-time trellis coding; spatial multiplexing; and fundamentals of OFDM modulation and its relation to MIMO communications. Examples and applications will be presented as well as related MATLAB homework assignments.</t>
  </si>
  <si>
    <t>EN.525.736</t>
  </si>
  <si>
    <t>Radar Signal Processing</t>
  </si>
  <si>
    <t>Students will learn basic and advanced techniques in radar signal processing—many of which are also relevant to other sensing modalities and applications. The focus will be the early-stage processing methods prior to tracking and data exploitation. The course will begin with a brief overview of radar systems and applications, the radar range equation, and radar signal modeling. Students will then learn in-depth about pulsed-Doppler processing, array processing, and space-time adaptive processing. The course will conclude with a brief introduction to synthetic aperture radar. Students will gain significant hands-on experience working with real radar data.</t>
  </si>
  <si>
    <t>EN.525.738</t>
  </si>
  <si>
    <t>Advanced Antenna Systems</t>
  </si>
  <si>
    <t>This course is designed to follow 525.618 Antenna Systems. Advanced techniques needed to analyze antenna systems are studied in detail. Fourier transforms are reviewed and applied to antenna theory and array distributions. The method of moments is studied and used to solve basic integral equations employing different basis functions. Green’s functions for patch antennas are formulated in terms of Sommerfeld-like integrals. Techniques such as saddle-point integration are presented. Topics addressed include computational electromagnetics, Leaky and surface waves, mutual coupling, and Floquet modes. Students should be familiar with complex variables (contour integration), Fourier transforms, and electromagnetics from undergraduate studies.</t>
  </si>
  <si>
    <t>EN.525.742</t>
  </si>
  <si>
    <t>System-on-a-Chip FPGA Design Laboratory</t>
  </si>
  <si>
    <t>This lab-oriented course will focus on the design of large-scale system-on-a-chip (SOC) solutions within field-programmable gate arrays (FPGAs). Modern FPGA densities and commercially available cores enable a single developer to design highly complex systems within a single FPGA. This class will provide the student with the ability to design and debug these inherently complex systems. Topics will include high-speed digital signal processing, embedded processor architectures, customization of soft-core processors, interfacing with audio and video sensors, communications interfaces, and networking. The optimum division of algorithms between hardware and software will be discussed, particularly the ability to accelerate software algorithms by building custom hardware. Many labs will center on a common architecture that includes signal processing algorithms in the FPGA fabric, controlled by an embedded processor that provides user interfaces and network communication. Students will also gain experience running Linux on their FPGA-based processing system. Each student will receive an FPGA board and supporting equipment in order to complete lab assignments at home. Prerequisites: 525.642 FPGA Design Using VHDL, and familiarity with C programming.</t>
  </si>
  <si>
    <t>EN.525.743</t>
  </si>
  <si>
    <t>Embedded Systems Development Lab</t>
  </si>
  <si>
    <t>This project-based laboratory course involves the development of embedded system prototypes. Typical projects contain combinations of the following component types: transducers, analog front ends, micro-controllers and processors, FPGAs, digital signal processors, electrical interfaces, wired or wireless connectivity, printed circuit boards required for integration and test, and software/firmware modules needed to operate a designed system. The laboratory activity is a backdrop used to teach key aspects of the development process such as documentation, realistic use of requirements, design partition, integration strategy, interface design, risk mitigation, and design strategies to accommodate available resources. Students will select a project concept and then create an implementation plan that will define the semester’s activity. Students may work independently or in teams to define, develop, test, and document their projects. Students are encouraged to select topics based on their interests and learning objectives. All projects are subject to instructor approval.</t>
  </si>
  <si>
    <t>EN.525.744</t>
  </si>
  <si>
    <t>Passive Emitter Geo-Location</t>
  </si>
  <si>
    <t>This course covers the algorithms used to locate a stationary RF signal source, such as a radar, radio, or cell phone. The topics covered include a review of vectors, matrices, and probability; linear estimation and Kalman filters; nonlinear estimation and extended Kalman filters; robust estimation; data association; measurement models for direction of arrival, time difference of arrival, and frequency difference of arrival; geo-location algorithms; and performance analysis. Most of the course material is developed in planar Cartesian coordinates for simplicity; however, the extension to WGS84 coordinates is provided to equip the students for practical applications. Homework consists of both analytical problems and problems that require computer simulation using software such as MATLAB.</t>
  </si>
  <si>
    <t>EN.525.745</t>
  </si>
  <si>
    <t>Applied Kalman Filtering</t>
  </si>
  <si>
    <t>Theory, analysis, and practical design and implementation of Kalman filters are covered, along with example applications to real-world problems. Topics include a review of random processes and linear system theory; Kalman filter derivations; divergence analysis; numerically robust forms; suboptimal filters and error budget analysis; prediction and smoothing; cascaded, decentralized, and federated filters; linearized, extended, second-order, and adaptive filters; and case studies in GPS, inertial navigation, and ballistic missile tracking.</t>
  </si>
  <si>
    <t>EN.525.746</t>
  </si>
  <si>
    <t>Image Engineering</t>
  </si>
  <si>
    <t>The overall goal of the course is to provide the student with a unified view of the imaging process, concentrating on image creation and processing. Optical, photographic, analog, and digital image systems are highlighted. Topics include image input, output, and processing devices; visual perception; video systems; and fundamentals of image enhancement and compression. Coding, filtering, and transform techniques are covered, with applications to remote sensing and biomedical problems.</t>
  </si>
  <si>
    <t>EN.525.747</t>
  </si>
  <si>
    <t>Speech Processing</t>
  </si>
  <si>
    <t>This course emphasizes processing of the human speech waveform, primarily using digital techniques. Theory of speech production and speech perception as related to signals in time and frequency-domains is covered, as well as the measurement of model parameters, short-time Fourier spectrum, and linear predictor coefficients. Speech coding, recognition, speech synthesis, and speaker identification are discussed. Application areas include telecommunications telephony, Internet VOIP, and man-machine interfaces. Considerations for embedded realization of the speech processing system will be covered as time permits. Several application-oriented software projects will be required.</t>
  </si>
  <si>
    <t>EN.525.748</t>
  </si>
  <si>
    <t>Synthetic Aperture Radar</t>
  </si>
  <si>
    <t>This course covers the basics of synthetic aperture radar (SAR) from a signal processing perspective. In particular, the course will examine why there are limiting design considerations for real aperture radar and how a synthetic aperture can overcome these limitations to create high-resolution radar imaging. Various SAR geometries will be considered. Image formation algorithms, such as range Doppler, chirp scaling, omega-K, polar formatting, and backprojection, will be reviewed and, in some cases, coded by the student. Other post-processing techniques, such as motion compensation, aperture weighting (or apodization), autofocus, and multilook, will be reviewed. Advanced topics will include interferometric SAR, polarimetry, continuous wave linear FM (CWLFM) SAR, and moving objects in SAR imagery. Students will work through problems involving radar and SAR processing. Students will also develop SAR simulations, in either MATLAB or Python, based on simple point scatterers in a benign background.</t>
  </si>
  <si>
    <t>EN.525.751</t>
  </si>
  <si>
    <t>Software Radio for Wireless Communications</t>
  </si>
  <si>
    <t>Software-defined radio (SDR) has become a common approach to rapid prototyping and deployment of communications equipment. It allows engineers to quickly move from algorithm development to functional prototype, using small form-factor commercial hardware. This course will explore modern SDR technology and implementation techniques. Students will design and implement common radio functions using field-programmable gate arrays (FPGAs) and software frameworks. During the semester, we progress from hardware considerations and basic signal processing techniques to synchronization, digital modulation, and cognitive radio. We finish with a final semester project combining multiple cognitive radio concepts.</t>
  </si>
  <si>
    <t>EN.525.752</t>
  </si>
  <si>
    <t>Digital Receiver Synchronization Techniques</t>
  </si>
  <si>
    <t>This course explores synchronization techniques in modern digital receivers. Synchronization techniques, from initial detection of a signal to symbol timing recovery, is studied in this course. Students will learn practical synchronization techniques through experimentation and hands-on development. Students develop software to solve synchronization problems relevant to modern wireless communication standards. A semester project involving demodulation and synchronization is required.</t>
  </si>
  <si>
    <t>EN.525.753</t>
  </si>
  <si>
    <t>Laser Systems and Applications</t>
  </si>
  <si>
    <t>This course provides a comprehensive treatment of the generation of laser light, and its properties and applications. Topics include specific laser systems and pumping mechanisms, nonlinear optics, temporal and spatial coherence, guided beams, interferometric and holographic measurements, and remote sensing.</t>
  </si>
  <si>
    <t>EN.525.754</t>
  </si>
  <si>
    <t>Wireless Communication Circuits</t>
  </si>
  <si>
    <t>In this course, students examine modulator and demodulator circuits used in communication and radar systems. A combination of two lectures, three laboratory experiments, and a student design project address the analysis, design, fabrication, and test of common circuits. Signal formats considered include phase and frequency shift keying, as well as the linear modulations used in analog systems. The students will select a project topic of their choosing. The nature and extent of the project will be negotiated with the instructors. The project will consume about two-thirds of the semester and weighs in a similar proportion for the final grade. There are no exams in this course, it is a laboratory and project-based learning experience.</t>
  </si>
  <si>
    <t>EN.525.756</t>
  </si>
  <si>
    <t>Optical Propagation, Sensing, and Backgrounds</t>
  </si>
  <si>
    <t>This course presents a unified perspective on optical propagation in linear media. A basic background is established using electromagnetic theory, spectroscopy, and quantum theory. Properties of the optical field and propagation media (gases, liquids, and solids) are developed, leading to basic expressions describing their interaction. The absorption line strength and shape and Rayleigh scattering are derived and applied to atmospheric transmission, optical window materials, and propagation in water-based liquids. A survey of experimental techniques and apparatus is also part of the course. Applications are presented for each type of medium, emphasizing remote sensing techniques and background noise. Computer codes such as LOWTRAN, FASCODE, and OPTIMATR are discussed. Prerequisite(s): Undergraduate courses on electromagnetic theory and elementary quantum mechanics. A course on Fourier optics is helpful.</t>
  </si>
  <si>
    <t>EN.525.759</t>
  </si>
  <si>
    <t>Image Compression, Packet Video, and Video Processing</t>
  </si>
  <si>
    <t>This course provides an introduction to the basic concepts and techniques used for the compression of digital images and video. Video compression requirements, algorithm components, and ISO Standard video processing algorithms are studied. Image compression components that are used in video compression methods are also identified. Since image and video compression is now integrated in many commercial and experimental video processing methods, knowledge of the compression methods’ effects on image and video quality are factors driving the usability of that data in many data exploitation activities. Topics to be covered include introduction to video systems, Fourier analysis of video signals, properties of the human visual system, motion estimation, basic video compression techniques, videocommunication standards, and error control in video communications. Video processing applications that rely on compression algorithms are also studied. A mini-project is required.</t>
  </si>
  <si>
    <t>EN.525.761</t>
  </si>
  <si>
    <t>Wireless and Wireline Network Integration</t>
  </si>
  <si>
    <t>This course investigates the integration of wireless and wireline networks into seamless networks. The current telecommunications environment in the United States is first discussed, including the state of technology and regulations as they apply to the wireless and wireline hybrid environment. Then each type of these hybrid networks is discussed, including its components, network services, architecture, and possible evolution, as well as important concepts that support the evolution of networks. The integration of wired network advance intelligence, wireless network mobility, and long distance capabilities are shown to provide many new combinations of wired and wireless services to users.</t>
  </si>
  <si>
    <t>EN.525.762</t>
  </si>
  <si>
    <t>Introduction to Wavelets</t>
  </si>
  <si>
    <t>This is an introductory course on wavelet analysis, with an emphasis on the fundamental mathematical principles and basic algorithms. We cover the mathematics of signal (function) spaces, orthonormal bases, frames, time-frequency localization, the windowed Fourier transform, the continuous wavelet transform, discrete wavelets, orthogonal and biorthogonal wavelets of compact support, wavelet regularity, and wavelet packets. It is designed as a broad introduction to wavelets for engineers, mathematicians, and physicists.Prerequisite: Competence with multivariable calculus, linear algebra, and a scientific programming language is required, as well as familiarity with Fourier transforms and signal processing fundamentals such as the discrete Fourier transform, convolutions, and correlations.</t>
  </si>
  <si>
    <t>EN.525.763</t>
  </si>
  <si>
    <t>Advanced Linear and Nonlinear Estimation</t>
  </si>
  <si>
    <t>This course will cover principles and techniques for designing, implementing, and analyzing linear and nonlinear state estimators for dynamical systems for which traditional least-squares and linear Kalman filtering approaches might not be sufficient. In particular, emphasis is placed on state space systems that are characterized by partial observability and/or non-Gaussian uncertainties that, generally, arise in applications governed by complex non-linear stochastic dynamics and measurement processes. First, a brief review of matrix theory, state-space models and realizations, probability theory, dynamic system motion models, least-squares estimation, Luenberger observers, and linear Kalman filters (continuous and discrete versions) is presented. Then, these concepts are extended to advanced state estimation concepts and applications, to include: extended Kalman filtering, unscented Kalman filters, Cubature and Cubature-Quadrature Kalman Filters, and particle filtering along with various application examples.</t>
  </si>
  <si>
    <t>EN.525.764</t>
  </si>
  <si>
    <t>Nonlinear Controls</t>
  </si>
  <si>
    <t>This course covers the fundamentals of the design of controllers for nonlinear dynamic systems. Topics include Lyapunov Theory, Describing Functions, Feedback Linearization, Sliding Mode Control, as well as several Adaptive Control Techniques. The course will provide the theatrical background necessary to design and analyze nonlinear controllers while grounding the theory with practical, physical applications.</t>
  </si>
  <si>
    <t>EN.525.768</t>
  </si>
  <si>
    <t>Wireless Networks</t>
  </si>
  <si>
    <t>This is a hands-on course that integrates teaching of concepts in wireless LANs as well as offering students, in an integrated lab environment, the ability to conduct laboratory experiments and design projects that cover a broad spectrum of issues in wireless LANs. The course will describe the characteristics and operation of contemporary wireless network technologies such as the IEEE 802.11 and 802.11s wireless LANs and Bluetooth wireless PANs. Laboratory experiments and design projects include MANET routing protocols, infrastructure and MANET security, deploying hotspots, and intelligent wireless LANs. The course will also introduce tools and techniques to monitor, measure, and characterize the performance of wireless LANs as well as the use of network simulation tools to model and evaluate the performance of MANETs.</t>
  </si>
  <si>
    <t>EN.525.770</t>
  </si>
  <si>
    <t>Intelligent Algorithms</t>
  </si>
  <si>
    <t>Intelligent algorithms are, in many cases, practical alternative techniques for tackling and solving a variety of challenging engineering problems. For example, fuzzy control techniques can be used to construct nonlinear controllers via the use of heuristic information when information on the physical system is limited. Such heuristic information may come, for instance, from an operator who has acted as a "human-in-the-loop" controller for the process. This course investigates several concepts and techniques commonly referred to as intelligent algorithms; discusses the underlying theory of these methodologies when appropriate; and takes an engineering perspective and approach to the design, analysis, evaluation, and implementation of Intelligent Systems. Fuzzy systems, genetic algorithms, particle swarm and ant colony optimization techniques, and neural networks are the primary concepts discussed in this course, and several engineering applications are presented along the way. Expert (rule-based) systems are also discussed within the context of fuzzy systems. An intelligent algorithms research paper must be selected from the existing literature, implemented by the student, and presented as a final project. Prerequisite(s): Student familiarity of system-theoretic concepts is desirable.</t>
  </si>
  <si>
    <t>EN.525.771</t>
  </si>
  <si>
    <t>Propagation of Radio Waves in the Atmosphere</t>
  </si>
  <si>
    <t>This course examines various propagation phenomena that influence transmission of radio frequency signals between two locations on earth and between satellite-earth terminals, with a focus on applications. Frequencies above 30 MHz are considered with emphasis on microwave and millimeter propagation. Topics include free space transmission, propagation, and reception; effects on waves traversing the ionosphere; and attenuation due to atmospheric gases, rain, and clouds. Brightness temperature concepts are discussed, and thermal noise introduced into the receiver system from receiver hardware and from atmospheric contributions are examined. Also described are reflection and diffraction effects by land terrain and ocean, multipath propagation, tropospheric refraction, propagation via surface and elevated ducts, scatter from fluctuations of the refractive index, and scattering due to rain. Atmospheric dynamics that contribute to the various types of propagation conditions in the troposphere are described. Prerequisite(s): An undergraduate degree in electrical engineering or equivalent.</t>
  </si>
  <si>
    <t>EN.525.772</t>
  </si>
  <si>
    <t>Fiber-Optic Communication Systems</t>
  </si>
  <si>
    <t>This course investigates the basic aspects of fiber-optic communication systems. Topics include sources and receivers, optical fibers and their propagation characteristics, and optical fiber systems. The principles of operation and properties of optoelectronic components, as well as the signal guiding characteristics of glass fibers, are discussed. System design issues include terrestrial and submerged point-to-point optical links and fiber-optic networks.</t>
  </si>
  <si>
    <t>EN.525.774</t>
  </si>
  <si>
    <t>RF &amp; Microwave Circuits I</t>
  </si>
  <si>
    <t>In this course, students examine RF and microwave circuits appropriate for wireless communications and radar sensing. The course emphasizes the theoretical and experimental aspects of micro-strip design of highly integrated systems. Computer-aided design techniques are introduced and used for the analysis and design of circuits. Circuits are designed, fabricated, and tested, providing a technically stimulating environment in which to understand the foundational principles of circuit development. Couplers, modulators, mixers, and calibrated measurements techniques are also covered.</t>
  </si>
  <si>
    <t>EN.525.775</t>
  </si>
  <si>
    <t>RF &amp; Microwave Circuits II</t>
  </si>
  <si>
    <t>This course builds upon the knowledge gained in 525.774 RF and Microwave Circuits I. Here there is a greater emphasis on designs involving active components. Linear and power amplifiers and oscillators are considered, as well as stability, gain, and their associated design circles. The course uses computer-aided design techniques and students fabricate and test circuits of their own design.</t>
  </si>
  <si>
    <t>EN.525.776</t>
  </si>
  <si>
    <t>Information Theory</t>
  </si>
  <si>
    <t>Information theory concerns the fundamental limits for data compressibility and the rate at which data may be reliably communicated over a noisy channel. Course topics include measures of information, entropy, mutual information, Markov chains, source coding theorem, data compression, noisy channel coding theorem, error-correcting codes, and bounds on the performance of communication systems. Classroom discussion and homework assignments will emphasize fundamental concepts, and advanced topics and practical applications (e.g., industry standards, gambling/finance, machine learning) will be explored in group and individual research projects.</t>
  </si>
  <si>
    <t>EN.525.777</t>
  </si>
  <si>
    <t>Control System Design Methods</t>
  </si>
  <si>
    <t>This course examines advanced multivariable control system design methodologies and how the available techniques are applied to produce practical system designs. Both the underlying theories and the use of Matlab to synthesize and analyze feedback designs are covered. We start with control problem formulations that capture performance and stability robustness objectives in the face of system parameter uncertainties and unknown disturbances. Specific design techniques include the linear quadratic regulator, the linear quadratic gaussian regulator with loop transfer recovery, H-infinity design, and mu-synthesis. Nonlinear techniques such as sliding mode control and feedback linearization are introduced as well as adaptive control methods that apply supervised learning while ensuring stability via Lyapunov analysis. Weekly assignments will include graded homework problems and Matlab exercises to practice the covered design and analysis methods.</t>
  </si>
  <si>
    <t>EN.525.778</t>
  </si>
  <si>
    <t>Design for Reliability, Testability, and Quality Assurance</t>
  </si>
  <si>
    <t>The design of reliable and testable systems, both analog and digital, is considered at the component, circuit, system, and network levels. Using numerous real-world examples, the trade-offs between redundancy, testability, complexity, and fault tolerance are explored. Although the emphasis is predominantly on electronics, related examples from the aerospace and software industries are included. The concepts of fault lists, collapsed fault lists, and other techniques for reducing the complexity of fault simulation are addressed. A quantitative relationship between information theory, error correction codes, and reliability is developed. Finally, the elements of a practical quality assurance system are presented. In addition to homework assignments, students will conduct an in-depth, quantitative case study of a practical system of personal interest.</t>
  </si>
  <si>
    <t>EN.525.779</t>
  </si>
  <si>
    <t>RF Integrated Circuits</t>
  </si>
  <si>
    <t>This course covers the RFIC design process focusing on the RF/microwave portion of RFIC. An overview of digital circuits and digital signal processing will be given along with semi-conductor fabrication, device models, and RF/microwave design techniques using a typical SiGe process. Part of the course will involve student design projects using a CAD software to design amplifiers, mixers, etc.</t>
  </si>
  <si>
    <t>EN.525.780</t>
  </si>
  <si>
    <t>Multidimensional Digital Signal Processing</t>
  </si>
  <si>
    <t>The fundamental concepts of multidimensional digital signal processing theory as well as several associated application areas are covered in this course. The course begins with an investigation of continuous-space signals and sampling theory in two or more dimensions. The multidimensional discrete Fourier transform is defined, and methods for its efficient calculation are discussed. The design and implementation of two-dimensional non-recursive linear filters are treated. The final part of the course examines the processing of signals carried by propagating waves. This section contains descriptions of computed tomography and related techniques and array signal processing. Several application oriented software projects are required.</t>
  </si>
  <si>
    <t>EN.525.783</t>
  </si>
  <si>
    <t>Spread Spectrum Communications</t>
  </si>
  <si>
    <t>This course presents an analysis of the performance and design of spread-spectrum communication systems. Both direct-sequence and frequency-hopping systems are studied. Topics include pseudonoise sequences, code synchronization, interference suppression, and the application of error-correcting codes. The use of code-division multiple access in digital cellular systems is examined. The relationships between spread spectrum, cryptographic, and error correction systems are explored. The mathematics of pseudo-random sequences used as spreading codes is compared with the mathematics of complex numbers with which students are already familiar.</t>
  </si>
  <si>
    <t>EN.525.784</t>
  </si>
  <si>
    <t>Microwave Magnetics and Non-Reciprocal Devices</t>
  </si>
  <si>
    <t>This course provides a comprehensive study of magnetic materials and their applications in microwave and millimeter-wave systems. Starting from the quantum physics of magnetism (Zeeman effect, exchange interaction), students progress through the Polder permeability tensor to the design and analysis of non-reciprocal components including circulators, isolators, and phase shifters. Emphasis is placed on practical design methodologies, full-wave electromagnetic simulation, and material characterization. The course concludes with contemporary topics in magnetostatic wave devices and spintronics for next-generation RF applications.Upon completion, students will possess the theoretical foundation and practical skills necessary to specify, design, simulate, and evaluate ferrite-based microwave components for defense, aerospace, telecommunications, and commercial applications.</t>
  </si>
  <si>
    <t>EN.525.786</t>
  </si>
  <si>
    <t>Human Robotics Interaction</t>
  </si>
  <si>
    <t>This course provides an investigation of human-robot interaction and prosthetic control, with a focus on advanced man-machine interfaces including neural signal processing, electromyography, and motion tracking interfaces for controlling and receiving feedback from robotic devices. The course will also cover human physiology and anatomy, signal processing, intent determination, communications between the human and the device, haptic feedback, and telepresence. It is designed to be a hands-on course with class time spent in the dedicated robotics lab designing interfaces and performing experiments in a Virtual Integration Environment (VIE) and with robotic devices. Additional time in the lab, outside of class time, may be required to complete the course project. Programming for the class will be in MATLAB and Simulink.Prerequisite(s): Linear algebra, ordinary differential equations, and programming experience with Python or MATLAB</t>
  </si>
  <si>
    <t>EN.525.787</t>
  </si>
  <si>
    <t>Microwave Monolithic Integrated Circuit (MMIC) Design</t>
  </si>
  <si>
    <t>This course is for advanced students who have a background in microwave circuit analysis and design techniques and are familiar with modern microwave computer-aided engineering tools. The course covers the monolithic implementation of microwave circuits on GaAs, or other III/V, substrates, including instruction on processing, masks, simulation, layout, design rule checking, packaging, and testing. The first part of the course includes information and assignments on the analysis and design of MMIC chips. The second part consists of projects in which a chip is designed, reviewed, and evaluated in an engineering environment, resulting in a design that would be ready for submission to a foundry for fabrication.</t>
  </si>
  <si>
    <t>EN.525.788</t>
  </si>
  <si>
    <t>Power Microwave Monolithic Integrated Circuit (MMIC) Design</t>
  </si>
  <si>
    <t>This course covers additional circuit design techniques applicable to MMICs (and microwave circuits in general). It is an extension of EN.525.774 /775 RF and Microwave Circuits I and II and EN.525.787 Microwave Monolithic Integrated Circuit (MMIC) Design, although for students with a microwave background, these particular courses are not prerequisites. The topics covered include broadband matching, optimum loads for efficiency and low intermodulation products, odd mode oscillations, details of nonlinear modeling, time domain simulation of nonlinear circuits, and thermal effects. Students do need to have a background in microwave measurements and microwave CAD tools. No project is required, but there is structured homework involving power MMIC design completed by the student using a foundry library.</t>
  </si>
  <si>
    <t>EN.525.789</t>
  </si>
  <si>
    <t>Advanced Satellite Communications</t>
  </si>
  <si>
    <t>This course provides an in-depth exploration of advanced concepts, technologies, and applications in satellite communications, bridging the foundations of physics and engineering with modern system-level challenges. Students begin with the essential mathematical and physical tools — vector calculus, orbital mechanics, electromagnetics, and relativity—that underpin the design and operation of satellite systems. Building on this foundation, the course progresses through the principles of orbital dynamics, antenna theory, propagation effects, and link budget analysis, before advancing into multi-access protocols, payload architectures, and emerging technologies. Hands-on learning is emphasized through simulations, analytical derivations, and applied projects. Students will use MATLAB/Python to model modulation performance, orbital dynamics, beamforming, Doppler effects, and satellite link behavior. They will also analyze real-world case studies such as GPS, Starlink, and deep-space communication links. The course highlights both current and emerging directions in the field, including optical and quantum communications, 5G/6G integration, mega-constellations, interplanetary networks, and space–economics trade-offs. In addition to technical mastery, students will develop the ability to critically assess system design choices, balancing physics, hardware limitations, and mission economics.</t>
  </si>
  <si>
    <t>EN.525.790</t>
  </si>
  <si>
    <t>RF Power Amplifier Design Techniques</t>
  </si>
  <si>
    <t>This course addresses foundational power amplifier circuit concepts and engineering fundamentals. The design of high power/high efficiency amplifiers that satisfy specific system requirements (bandwidth, linearity, spectral mask, etc.) are covered. Various device technologies (GaAs, GaN, LDMOS, SiGe), device scaling and modeling, optimum load calculations, amplifier classes (A, B, AB, C, E, F, etc.), waveform engineering, modulation techniques, efficiency enhancement, odd/even mode stability analysis, linearization techniques, power combining, reliability, lifetime calculation, and packaging are studied. The concepts are explored theoretically, and practically using numerous design exercises. This course stresses hands-on design techniques and practical considerations for real-world situations and applications.</t>
  </si>
  <si>
    <t>EN.525.791</t>
  </si>
  <si>
    <t>Microwave Communications Laboratory</t>
  </si>
  <si>
    <t>This advanced laboratory course is designed for students who have completed RF and Microwave Circuits I and II. The course aims to extend the students' theoretical understanding into practical applications by guiding them through the process of designing, constructing, and testing a microwave subsystem, with an emphasis on the development of an independent receiver subsystem. While the primary focus is on receiver subsystems, alternative project proposals are welcome, provided they receive instructor approval within the first week of the course. As such, the course covers the principles and methodologies in designing and fabricating communication receivers and transmitters and provides a comprehensive overview of microwave test equipment and its proper use. Students will engage with RF/microwave laboratory instruments to evaluate the performance of various subsystems. A crucial part of the course is the pre-fabrication design review, where students present their designs for feedback before proceeding to fabrication. The culmination of the course is a final presentation, during which students will contrast simulated performance with actual measured outcomes, showcasing their understanding of the project's entire lifecycle.</t>
  </si>
  <si>
    <t>EN.525.793</t>
  </si>
  <si>
    <t>Advanced Communication Systems</t>
  </si>
  <si>
    <t>This course provides a basic introduction to the various building blocks of a modern digital communications system, focusing on the physical layer (PHY). We will first review basic concepts in digital communications, including Shannon theory, Nyquist sampling theory, optimal detection under Gaussian white noise, and basic modulations. We will then treat several building blocks of a digital receiver, including time and frequency synchronization, adaptive equalization and precoding, and error-correction coding/decoding. We will also introduce some advanced communication technologies such as Orthogonal Frequency-Division Multiplexing (OFDM) and Multiple-Input Multiple-Output (MIMO). Finally we will apply the knowledge to some practical wireless and wired systems.</t>
  </si>
  <si>
    <t>EN.525.796</t>
  </si>
  <si>
    <t>Introduction to High-Speed Optoelectronics</t>
  </si>
  <si>
    <t>This course provides the student with the fundamental concepts needed to address issues in both the design and test of high-speed optoelectronic systems. This is an emerging field where photonics is combined with high-speed electronics to generate, transmit, and process signals from microwave to terahertz frequencies. The purpose of this course is to introduce fundamental principles and state-of-the-art system applications. Topics include photonic and high-speed electronic principles, analog fiber optic link, principles of low-phase noise microwave sources, photonic methods for generating low-phase noise microwave signals, photonicbased RF signal processing techniques, and ultra-short optical pulse generation techniques. State-of-the-art applications include the low-phase noise opto-electronic oscillator, carrier envelope phase locked laser for time and frequency standards, photonic-based complex radar signal generators, phased-array antenna architectures including true time-delay beam forming and the ALMA radio-telescope array, photonic analog-to-digital converter techniques, electro-optic sampling, and Terahertz signal generation. Prerequisite(s): Bachelor’s degree in electrical engineering or physics. An undergraduate course in electromagnetics is required. A course in microwave theory is preferred.</t>
  </si>
  <si>
    <t>EN.525.797</t>
  </si>
  <si>
    <t>Advanced Fiber Optic Laboratory</t>
  </si>
  <si>
    <t>The purpose of this laboratory course is to expose students to state-of-the-art applications of fiber optic technologies that include continuous-wave (cw) and pulsed fiber lasers, high-speed digital fiber optic communication systems, microwave photonic links, and non-linear fiber optic signal processing and sensors. The first part of the course will focus on a thorough characterization of fiber laser systems starting with the erbium-doped fiber amplifier and implementing different laser configurations that include multi-mode cw operation, Q-switching and relaxation oscillations, non-linear based mode-locking and single longitudinal mode operation. All of the measurements will be compared to theoretical models. This will provide students with hands-on experience with concepts that are applicable to all laser systems. In the latter part of the course, students will select a few topics that demonstrate both modern fiber optic systems based on cw lasers, external electro-optic modulators and high-speed photodetectors and applications of nonlinear fiber optics using self-phase modulation, stimulated Brillouin scattering, stimulated Raman scattering, and four wave mixing. These topics highlight the breadth of applications of modern fiber optic systems. Again, all of the experiments will be compared to theoretical models.</t>
  </si>
  <si>
    <t>engineering_management</t>
  </si>
  <si>
    <t>EN.595.601</t>
  </si>
  <si>
    <t>Principles of Engineering Leadership</t>
  </si>
  <si>
    <t>Technical expertise is in itself not sufficient for engineers who aspire to lead teams, manage projects, or drive organizational strategy. Leadership training equips future engineering managers with the skills to motivate people, communicate effectively, make decisions under uncertainty, and align technical work with business goals. This course will help emerging engineering leaders understand and apply foundational leadership principles for leading technical teams, influencing stakeholders, and navigating ambiguity through the provision of leadership fundamentals that complement technical knowledge and domain-specific information.</t>
  </si>
  <si>
    <t>EN.595.660</t>
  </si>
  <si>
    <t>Planning and Managing Projects</t>
  </si>
  <si>
    <t>This course concentrates on the general methodology of managing a technical project from concept to operational use, with emphasis on the functions, roles, and responsibilities of the project manager. Topics include career aspects of project management; business factors affecting the project and the manager; project organization, planning, execution, and communications; project life cycle; risk analysis; interface management; design review; design control assessment; reporting; and reaction to critical problems. Students are formed into groups, presented with a scenario that simulates the development of a high-technology system, and assigned to make decisions required of the project manager in the execution of the project. The project manager’s decisions must then be effectively communicated (and perhaps defended) to a variety of audiences (represented by other students and faculty) that include top management, the customer, functional management, and members of the project team.</t>
  </si>
  <si>
    <t>EN.595.662</t>
  </si>
  <si>
    <t>Technical Organization Management</t>
  </si>
  <si>
    <t>This course reviews the challenges of group management and personnel management in a technical organization. Students examine core functions of a technical group-level manager for planning, organizing, controlling, and leading. The course introduces topics relevant to technical group managers, including ethical leadership, team building, innovation environment, customer responsiveness, recruiting, hiring, compensation, delegation, motivation, performance management, conflict management, and organizational learning. Students address typical organization management situations and apply concepts to address expectations and challenges for a group-level manager in a technical organization.</t>
  </si>
  <si>
    <t>EN.595.665</t>
  </si>
  <si>
    <t>Strategic Communications in Technical Organizations</t>
  </si>
  <si>
    <t>This course covers problems and instruction in human communications within a technical organization. Topics include the nature of difficulties in human communications (perception and cognition, semantics, individual differences in processing information, and listening), techniques for effective oral and written communications and presentations, problems in communication between supervisors and subordinates, assignment of work, and reporting to management and sponsors. Students assume roles in various interpersonal situations, meetings, discussions, and conflicts calling for a supervisor to write letters and memoranda; they also deliver oral presentations and participate in group and one-on-one discussions. This course also includes writing winning proposals and developing a technical strategy aligned with the organization’s business strategy.</t>
  </si>
  <si>
    <t>EN.595.676</t>
  </si>
  <si>
    <t>Finance, Contracts, and Compliance for Technical Professionals</t>
  </si>
  <si>
    <t>This course introduces the technical manager to all aspects of business management within an organization, ranging from tactical project planning and control, and contract management to higher level corporate financial and legal topics. Students will be guided through weekly topics in the areas of planning a project, scheduling, tracking and the evaluation/assessment of a project. It will also cover contractual considerations for the technical manager. The course will move from managerial business management to financial accounting topics such as direct and indirect costs, revenues, and profits; indices to financial position; use of financial reports; return on investment, net present value; internal rate of return; and financial management (including cash and funds flow statements). Finally, this course will also use the management approaches and practices above and apply them to the world of contracting and legal analysis. Tactical contracting principles, including acquisition planning, contract award, performance, and termination will be covered. Basic legal principles that a senior technical leader will encounter in their career will also be presented. Course discussions covering corporations and partnerships, professional liability, risk management, intellectual property negotiations, and ethics are presented for students to recognize issues that are likely to arise in the engineering profession and introduces them to the complexities and vagaries of the legal profession.</t>
  </si>
  <si>
    <t>EN.595.701</t>
  </si>
  <si>
    <t>Product and Supply Chain Management for Technical Professionals</t>
  </si>
  <si>
    <t>This course provides foundational knowledge of Product and Supply Chain Management for effective engineering and technical leadership, while giving students a taste for the experience of being a product/supply chain manager. Topics include product management life cycles, investment strategies and business cases, product types (digital vs. physical vs. cyber-physical), product structures (build to spec vs. build to market), product and services portfolios, cross-organizational structures and governance, product, and services value chains as the basis for the supply chain, mergers and acquisitions, product platforms, and ethics and social responsibility related to products and supply chains. This course also addresses product-as-a-service and agile product/services development.The concepts in the course are reinforced with short case studies, a case-based team project, and fortified by interviews with practicing/retired product and supply chain executives and managers who discuss practical career experiences. Microsoft Teams is used extensively for instructor-student and student-team communication and collaboration.Note: This course is presented in a non-standard combination of asynchronous and synchronous delivery. Lectures are provided asynchronously online. Online (synchronous) attendance is required at bi-weekly seminar-type discussions. These discussions guide the incremental development, launch, sustainment and retirement plan for a product/product portfolio, and include mid-course and semester-end team presentations.</t>
  </si>
  <si>
    <t>EN.595.715</t>
  </si>
  <si>
    <t>Technical Leadership Foresight and Innovation</t>
  </si>
  <si>
    <t>EN.595.727</t>
  </si>
  <si>
    <t>Advanced Concepts in Agile Technical Management</t>
  </si>
  <si>
    <t>The emergence of overarching strategies, represented primarily by DoD’s Digital Engineering initiatives along with the commercial equivalent of Digital Transformation, are sound responses to previously unsatisfactory outcomes to a common question: How can organizations meet the challenge of complex projects and programs whose emergent characteristics and requirements demand continuous innovation and adaptation in order to succeed? High-tech firms and government agencies increasingly are searching for engineering managers and technical leaders who have the relevant skills to address these challenges, and are rewarding them accordingly. This course will provide students with the expertise needed to lead a highly skilled, cross-functional technical workforce capable of successfully executing these most demanding projects and programs. Students will learn advanced methods of technical leadership that apply a careful blend of agile, lean and design-thinking constructs designed to achieve the levels of success these high-tech firms and government agencies are seeking. Furthermore, students will learn how to employ a portfolio of advanced concepts to meet these challenges that include Digital Engineering (DE), Model-Driven Engineering (MDE), and just-in-time architecture development. Students will engage with fellow students in this course to draw from a popular style of team-based learning. This activity will help students acquire the necessary skills to implement these advanced leadership concepts to deliver transformational value to their customers.</t>
  </si>
  <si>
    <t>EN.595.731</t>
  </si>
  <si>
    <t>Business Law for Technical Professionals</t>
  </si>
  <si>
    <t>This course addresses legal issues commonly encountered by technical professionals, best practices in identifying and mitigating legal risks, and strategies to avoid costly legal errors and to recognize when professional legal advice is necessary. The course will acquaint students with various areas of the law that can interact to affect a single business transaction and will provide students with legal reasoning skills that can be applied in a technical business environment. Topics include the legal environment of business, contract basics, effective contract negotiations, breach of contract and remedies, intellectual property rights, licensing and technology transfer, protecting confidential and proprietary business information, employment law, Internet law, corporate policies, business ethics, export control regulations, and an overview of the American court system.</t>
  </si>
  <si>
    <t>EN.595.742</t>
  </si>
  <si>
    <t>Quality Management in Technical Organizations</t>
  </si>
  <si>
    <t>This course addresses quality management topics and applications vital to steering leadership and business process approaches for various organizations. Course discussions range from the history and development of modern quality programs to the latest in quality and business management, strategic planning, productivity improvement tools, techniques, and the implementation of quality initiatives needed to be successful in today’s highly dynamic and competitive global market. Advanced topics related to the principles and application of quality methodologies are presented such as the impact of leadership and corporate culture on quality and the importance of quality during the proposal and contract review process. Students will understand the elements and implementation strategies of quality assurance tools and systems, including benchmarking, process control, quality measurement, supplier quality management, and auditing. Current applications and strategies for implementing effective quality management are introduced including lean manufacturing philosophies, Deming’s PDCA cycle, Kaizen continuous improvement processes, and risk management. The course also covers a comprehensive and practical understanding of the implementation of quality management systems such as ISO 9001. As a result of the significant impact that software and system safety now have on today’s organizations, sessions dedicated to both topics are also included.</t>
  </si>
  <si>
    <t>EN.595.758</t>
  </si>
  <si>
    <t>Data Science for the Technical Leader</t>
  </si>
  <si>
    <t>Designed for scientists and engineers in technical leadership positions, this course provides an immersive introduction to data science and data management concepts for data-driven organizations. Through lectures, hands-on exercises, and project assignments, the course walks students through the full data science ecosystem: data management and wrangling, AI and machine learning methods, statistical fundamentals, commercial AI/ML tooling, solution deployment, and result evaluation. Students will learn the terminology and skills necessary to effectively lead the teams and processes behind data-driven work — from problem formulation and project design through operational delivery. Policy, governance, and the ethical dimensions of Data Science and AI round out the curriculum, equipping leaders to make decisions that are not only technically sound but organizationally defensible.This course explores the use of emerging AI technologies, such as Generative AI, throughout the data science process. Although there is a temptation to rely on Generative AI as a primary analytical tool, effective use of these capabilities depends on a working understanding of the data science and data engineering fundamentals underneath them. Leaders who have developed that foundation are better positioned to validate AI-enabled results, recognize the influence of data quality on outputs, and exercise the independent judgment needed to determine when those results can be trusted.Familiarity with desktop operating systems and software is required. Only basic coding familiarity is needed, as the emphasis throughout is on leadership judgment, critical evaluation, and decision-making across the AI and data science process.</t>
  </si>
  <si>
    <t>EN.595.762</t>
  </si>
  <si>
    <t>Leading Technical Organizations</t>
  </si>
  <si>
    <t>The course reviews challenges in the leadership of high-technology organizations at the senior technical management level. Using leadership and organizational behavior theories and practices in conjunction with critical thinking, the student will explore topics that include: senior technical leader roles and responsibilities in relation to ethics, leadership style, motivation, and performance of top management teams. The student will also evaluate leading change, communications and organizational relationships, and the potential effects organizational design and processes play in influencing leader behavior. The student will assume the role of a senior technical leader dealing with typical leadership problems in rapidly changing environments.</t>
  </si>
  <si>
    <t>EN.595.766</t>
  </si>
  <si>
    <t>Advanced Technology</t>
  </si>
  <si>
    <t>This course emphasizes the impact of recent technological advances on new products, processes, and needs, as well as the role of the technical manager in rapidly evolving technologies. Subject areas and lecture content track current topics of interest, such as trends and developments in microelectronics, communications, computers, intelligent machines, and expert systems. Advanced technologies in application areas such as transportation, space, manufacturing, and biomedicine are also discussed. Students are encouraged to explore new technology areas and share information with each other. The seminar format encourages student participation and culminates in a term paper on a new or emerging technology area.</t>
  </si>
  <si>
    <t>EN.595.781</t>
  </si>
  <si>
    <t>Executive Technical Leadership</t>
  </si>
  <si>
    <t>This Capstone course explores the roles and responsibilities of technical executive leaders (VPs of Engineering, Manufacturing, CTO, CIO) in the context of a strategic framework. Topics relevant to technical executives are explored, from leading technical strategy development to tactical operations. The concepts in the course are reinforced using case studies, a team project, and fortified by interviews with practicing/retired technical executives who discuss practical career experiences. The format of this course is very different from other Engineering Management courses. Lectures are provided asynchronously online. Required weekly online seminar-type discussions guide the incremental development of a technical strategy, and include a mid-course team presentation. The semester ends with a Capstone presentation, and an executive roundtable discussion. Students will be evaluated on their application of the principles presented in the course, critical thinking applied to the issues posed in the case study, and teamwork as assessed by both the instructors and peer students. The course includes one Sat Capstone session in the Balt, MD area at the end of the semester. In-person participation with other team members is encouraged. Students unable to attend in person will be able to participate online. The Sat session consists of student teams presenting their capstone technical strategic plan, issues, actions, and execution plans built around an evolving case study. A roundtable discussion will also be held where students have the opportunity to ask probing questions of visiting executives as part of the Capstone Day experience. This course is only offered in the Spring and Fall terms.</t>
  </si>
  <si>
    <t>EN.595.793</t>
  </si>
  <si>
    <t>Applied Innovation for Technical Professionals</t>
  </si>
  <si>
    <t>“Fail fast”, “crowdfunding”, “agile”, “open innovation”—the nature of innovation is radically changing in the 21st century. How can technical professionals thrive amidst the new models, tools and processes that are creating faster cycles of disruption? This course will address challenges faced by technical managers in creating and sustaining innovation across a wide range of organizations and environments: from government labs to Fortune 1,000 companies to small businesses and startups. Students will learn the many issues involved in turning creative ideas into a product or service and how to gain support for projects, demonstrate value of the innovation, scale to a profitable venture, and sustain the innovation through successive competitive life cycles. Students will also learn about the challenges and techniques for sustaining innovative cultures in large organizations and how to foster “intrepreneurship”—the concept of creating innovations within the processes and cultures of an already established organization. Case studies and interviews with experienced senior managers will provide students with the latest real-world insights.</t>
  </si>
  <si>
    <t>environmental_engineering</t>
  </si>
  <si>
    <t>EN.575.604</t>
  </si>
  <si>
    <t>Principles of Environmental Engineering</t>
  </si>
  <si>
    <t>This course provides knowledge of environmental elements with insight into quantitative analysis and design where applicable. Topics include an introduction to environmental engineering and design process, professional associations, engineering licensure, engineering ethics, and environmental justice; dimensional analysis, mass and energy transfer and balances; environmental chemistry; mathematics of growth and decay; risk assessment and management; surface water pollutants, biological and chemical oxygen demands; eutrophication; water supply systems and drinking water standards; wastewater treatment systems and effluent standards; groundwater flow, contaminant transport, and remediation technologies; remedial and corrective actions at contaminated sites; air pollution sources, control technologies, and atmospheric stability; ambient air quality standards and indoor air quality; global temperature, greenhouse effect and warming potential; global energy balance, carbon emission, and stratospheric ozone depletion; hazardous and solid waste management, landfill disposal, combustion, composting, and recycling; medical waste. Overviews of pertinent environmental laws and regulations will be presented where applicable. The course encompasses conceptual design projects for environmental systems and infrastructures. Course Note(s): This is a required course for all students in the Environmental Engineering, Science, and Management Programs who do not possess an undergraduate degree in Environmental Engineering.</t>
  </si>
  <si>
    <t>EN.575.605</t>
  </si>
  <si>
    <t>Principles of Water and Wastewater Treatment</t>
  </si>
  <si>
    <t>Water quality objectives and the chemical, physical, and biological processes necessary for designing and managing modern drinking water and wastewater treatment plants are described in the course. The principles of coagulation, flocculation, sedimentation, filtration, biological treatment, solids handling, disinfection, and advanced treatment processes are presented. The course serves as a basis for the more advanced courses: EN.575.745 Physical and Chemical Processes for Water and Wastewater Treatment, EN.575.706 Biological Processes for Water and Wastewater Treatment, and EN.575.746 Water and Wastewater Treatment Plant Design.</t>
  </si>
  <si>
    <t>EN.575.606</t>
  </si>
  <si>
    <t>Water Supply and Wastewater Collection</t>
  </si>
  <si>
    <t>This course covers the fundamental but practical issues of water distribution systems and wastewater/stormwater collection systems. Specific topics of interest in water supply include water supply master planning; design of water storage facilities, water mains, and pumping stations; distribution-system water quality; and service connection issues. Topics covered under wastewater/stormwater collection include hydrology and hydraulics of stormwater/wastewater conveyance systems; design of stormwater detention and retention facilities; and collection system control technologies including green infrastructure. Also covered are regulations governing sanitary sewer overflows (SSOs) and combined sewer overflows (CSOs); public health, environmental, and economic impacts of SSOs and CSOs; sewer system evaluation and rehabilitation methods; stormwater best management practices; and the benefits and challenges of water reuse. Through research papers and discussion forums, students examine case studies that illustrate diverse practical situations and stimulate creative ideas for solving real-life design problems.</t>
  </si>
  <si>
    <t>EN.575.607</t>
  </si>
  <si>
    <t>Radioactive Waste Management</t>
  </si>
  <si>
    <t>This course covers fundamental aspects of radioactive substances in the environment; remediation processes for these substances; and their eventual storage, processing, and disposal. It provides a basic understanding of radioactivity and its effect on humans and their environment, as well as the techniques for their remediation and disposal. Topics include radioactivity, the nucleoids, interaction of radiation with matter, shielding, dosimetry, biological effects, protection standards, sources of environmental radiation, risk evaluation, fate and transport analysis, cleanup standards, legal requirements, cleanup technologies, waste disposal, and case studies.</t>
  </si>
  <si>
    <t>EN.575.620</t>
  </si>
  <si>
    <t>Solid Waste Engineering &amp; Management</t>
  </si>
  <si>
    <t>This course covers engineering and scientific concepts and principles applied to the management of municipal solid waste (MSW) to protect human health and the environment and the conservation of limited resources through resource recovery and recycling of waste material. Topics include regulatory aspects and hierarchy of integrated solid waste management; characterization and properties of MSW; municipal wastewater sludge utilization; hazardous waste found in MSW; collection, transfer, and transport of solid waste; separation, processing, combustion, composting, and recycling of waste material; and the landfill method of solid waste disposal, which encompasses guidelines for design, construction, operation, siting, monitoring, remedial actions, and closure of landfills. Permitting and public participation processes, current issues, and innovative approaches are also addressed.</t>
  </si>
  <si>
    <t>EN.575.703</t>
  </si>
  <si>
    <t>Environmental Biotechnology</t>
  </si>
  <si>
    <t>This course explores modern biotechnological approaches to assessing, monitoring, and remediating contaminated environments. Students will examine technologies spanning molecular to ecosystem scales, with foundational instruction in microbiology and plant biology to support an understanding of the biological processes underlying these interventions. Key topics include the use of microbial metabolism for the breakdown of organic pollutants, phytoremediation of heavy metals and radio nuclides in soil and water, and the design and function of constructed wetlands for ecological wastewater treatment. The course also covers biofilm and biofilter applications for vapor-phase pollution control, as well as composting as a sustainable strategy for biological waste management. Students will analyze system modeling and design principles to evaluate the effectiveness and limitations of various remediation methods. Case studies introduce biosensor technologies for environmental monitoring, the use of molecular biology tools in environmental engineering, and genetic modifications to enhance bioremediation performance. By the end of the course, students will gain a systems level understanding of how biotechnology can offer sustainable, innovative solutions to environmental challenges. Prerequisites: Prior coursework in environmental microbiology, molecular Biology, or biochemical engineering is recommended but not required.</t>
  </si>
  <si>
    <t>EN.575.706</t>
  </si>
  <si>
    <t>Biological Processes for Water &amp; Wastewater Treatment</t>
  </si>
  <si>
    <t>This course develops the fundamentals and applications of aerobic and anaerobic biological unit processes for the treatment of municipal and industrial wastewater. The principles of activated sludge, aeration and clarifier design, fixed film reactors, anaerobic treatment, solids handling and treatment, land treatment, and nutrient removal are presented. This course uses concepts from microbiology and the basic principles of stoichiometry, energetics, and microbial kinetics are used to support the design of biological unit processes.</t>
  </si>
  <si>
    <t>EN.575.715</t>
  </si>
  <si>
    <t>Environmental Contaminant Dispersion and Transport</t>
  </si>
  <si>
    <t>This course will provide an overview of the basic foundations of pollutant transport and dispersion phenomena in the environment including surface water, atmosphere, and groundwater media. The emphasis of the course will be on mathematical formulation of transport equations, analytical solutions, physical insights, methods of analysis of tracer breakthrough curves, spatial and temporal moments analysis. Although numerical modeling is not the primary objective of the course, the students will be provided with the knowledge to build a modest computational toolbox using random-walk particle tracking to visualize and quantify transport processes. Computation of analytical solutions presented in the course will require some knowledge of scientific programming. However, the students will gain such competency during the course.Prerequisites: Undergraduate fluid mechanics (570.351 or equivalent) and differential equations.</t>
  </si>
  <si>
    <t>EN.575.741</t>
  </si>
  <si>
    <t>Membrane Filtration Systems and Applications in Water and Wastewater Treatment</t>
  </si>
  <si>
    <t>This course covers fundamentals of membrane filtration technology and application in municipal and industrial water and wastewater treatment. Topics include membrane classification, mechanism of separation/filtration, principle of operation, performance monitoring, maintenance, pilot scale testing, residual disposal, emerging and developing membrane separation technologies, and regulations governing treatment objectives and residual disposal in membrane filtrations systems. This course provides students with in-depth knowledge of the theory, application, and design of membrane filtration systems by engaging them in group assignments and design projects.</t>
  </si>
  <si>
    <t>EN.575.742</t>
  </si>
  <si>
    <t>Hazardous Waste Engineering and Management</t>
  </si>
  <si>
    <t>The course addresses traditional and innovative technologies, concepts, and principles applied to the management of hazardous waste and contaminated sites to protect human health and the environment. Topics include regulatory requirements; hazardous waste generators and transporters; permitting and enforcement of hazardous waste facilities; closure and financial assurance requirements; RCRA Corrective Action and CERCLA/Superfund/Brownfields site remediation processes; groundwater flow and fate and transport of contaminants; physical, chemical, and biological treatment; land disposal restrictions; guidelines for design, construction and closure of hazardous waste landfills; environmental monitoring systems; management of medical waste and treatment options; management of underground and aboveground storage tanks; toxicology and risk assessment; and pollution prevention and waste minimization.</t>
  </si>
  <si>
    <t>EN.575.745</t>
  </si>
  <si>
    <t>Physical and Chemical Processes for Water and Wastewater Treatment</t>
  </si>
  <si>
    <t>In this course, mass and momentum transport, aquatic chemistry, and chemical reaction engineering are applied to physical and chemical processes used for water and wastewater treatment. Students also learn the theory and practice of various unit processes including disinfection, oxidation, coagulation, sedimentation, filtration, adsorption, gas transfer, and membrane filtration. The goal is to provide a theoretical understanding of various chemical and physical unit operations, with direct application of these operations to the design and operation of water and wastewater treatment systems. Students will use the concepts learned in this class to better understand the design and operation of engineered and natural aquatic systems.</t>
  </si>
  <si>
    <t>EN.575.746</t>
  </si>
  <si>
    <t>Water and Wastewater Treatment Plant Design</t>
  </si>
  <si>
    <t>This course familiarizes students with appropriate design criteria and the design process for water and wastewater treatment plants. This includes design of treatment processes, cost estimates, and a working design team under project managers. Additional course requirements include oral presentations and writing engineering reports.</t>
  </si>
  <si>
    <t>EN.575.749</t>
  </si>
  <si>
    <t>Water Quality of Rivers, Lakes, and Estuaries</t>
  </si>
  <si>
    <t>Sustainably managing aquatic environments for ecosystem restoration/maintenance and protection of public health in a changing climate requires us to understand the combined effect of multiple physical, chemical, and biological stressors and processes. This class will equip students to apply their understanding of environmental engineering principles to real-world water quality issues using computer simulation models. Emphasis will be placed on gaining insight by understanding fundamental principles, assumptions, equations and methods used to develop water quality models. Physical, chemical and biological processes related to the classical water pollution problem of oxygen demand will be covered. Students will use a public domain model widely used in industry to develop a real-world case study application as a Course Project. Through the project the students will get experience assessing the impact of wastewater discharges of organic matter and nutrients on dissolved oxygen and to evaluate TMDL compliance. Selected advanced topics including eutrophication and toxic chemicals may also be introduced. Prerequisite(s):?Environmental Engineering Principles and Applications ( EN.570.303 or equivalent) Area: Engineering, Natural Sciences. Undergraduate or Graduate level course(s) in Differential Equations.</t>
  </si>
  <si>
    <t>EN.575.761</t>
  </si>
  <si>
    <t>Measurement and Pseudo-measurement in the Environmental Arena</t>
  </si>
  <si>
    <t>In this course, students will be provided with the knowledge to critically investigate practical, theoretical, mathematical, philosophical, sociological, and legal aspects of measurement and pseudo-measurement in environmental science and related disciplines. Students will explore the theoretical and mathematical bases for quantification and trace the relationship between these bases and the expanding role of quantification and pseudo-quantification in environmental research, policy, and decision making. Three theories of measurement (traditional, representational, and operational) will be presented from historical, technical, and philosophical perspectives. Claims to quantification arising in a number of environmental contexts (such as river systems and hydrology) will be closely examined in light of these divergent measurement paradigms.</t>
  </si>
  <si>
    <t>environmental_engineering_and_science</t>
  </si>
  <si>
    <t>EN.575.601</t>
  </si>
  <si>
    <t>Fluid Mechanics</t>
  </si>
  <si>
    <t>This course introduces the principles of continuity, momentum, and energy applied to fluid motion. Topics include fluid properties, cavitation and phase changes, hydrostatics, applications of Reynold Transport Equation to control volume analyses, laminar and turbulent flow, viscous boundary layers, form and surface resistance with applications to flow in conduits and channels, pumps, and turbines. This course requires a team project evaluating the design and operational parameters for fluid systems under safety and environmental constraints.</t>
  </si>
  <si>
    <t>EN.575.615</t>
  </si>
  <si>
    <t>Ecology</t>
  </si>
  <si>
    <t>The course examines an introduction to the organization of individual organisms into populations, communities, and ecosystems and interactions between organisms, humans, and the environment. Topics include causation and prediction in ecology; evolution and natural selection; populations and competition; biodiversity, extinction, and conservation; the impact of forest fragmentation and deforestation on diversity, erosion and sedimentation; wetland ecology and restoration; succession, stability, and disturbance; eutrophication and the Chesapeake Bay; island biogeography; and global climate change. An independent project will be required regarding a field site visited by the student; the student will examine an ecological, conservation, or restoration event or issue about that site.</t>
  </si>
  <si>
    <t>EN.575.619</t>
  </si>
  <si>
    <t>Principles of Toxicology, Risk Assessment &amp; Management</t>
  </si>
  <si>
    <t>Risk assessment and risk management have become central tools in continued efforts to improve public safety and the environment within the limited resources available. This course introduces the basic concepts of environmental risk assessment, relative risk analysis, and risk perception, including identifying and quantifying human health impacts and evaluating ecological risk. The course describes legislative and regulatory initiatives that are attempting to base decisions on risk assessment, along with the controversy that surrounds such approaches. It also addresses specific federal requirements for risk analysis by industry. The course discusses the realities of using risk assessments in risk management decisions, including the need to balance costs and benefits of risk reduction, issues of environmental equity, accounting for the uncertainties in risk estimates, effective risk communication, and acceptable risk.</t>
  </si>
  <si>
    <t>EN.575.626</t>
  </si>
  <si>
    <t>Hydrogeology</t>
  </si>
  <si>
    <t>This course introduces students to the fundamentals of groundwater, geology, and to the interactions with contaminant transport between the two. Students will develop a foundational understanding of geologic concepts and processes, focusing on the formation and characteristics of water-bearing formations, along with the theory of groundwater flow, the hydrology of aquifers, well hydraulics, groundwater resource evaluation, and contaminant fate and transport in groundwater. Students will examine the relationship between the geologic concepts/processes and the groundwater resource, discuss the influence of the geologic environment on the availability and movement of groundwater, formulate the fate and transport of groundwater contaminants, and explore geotechnical engineering problems associated with groundwater issues. Learning is supported through discussions, quizzes, applied homework assignments, and progressive course project assignments that address real-world groundwater scenarios. Prerequisites: Calculus I, Calculus II, Ordinary Differential Equations.</t>
  </si>
  <si>
    <t>EN.575.629</t>
  </si>
  <si>
    <t>Modeling Contaminant Migration through Multimedia Systems</t>
  </si>
  <si>
    <t>This course addresses contamination in several physical media as chemical species that migrate through an integrated environment. Contaminants can be released into air, subsurface or surface water from which chemicals can migrate between these media. Predicting the movement as well as human health and ecological impacts of contaminants between the air, groundwater and surface water media requires consideration of transport and fate processes that occur separately within each medium as well as linkages of contaminant interactions between media. The course presents the basic principles and computational methods for simulation of contaminant transport and kinetic fate processes in air, groundwater and surface water. Course assessments include interactive discussion topics, assignments and a course project. Screening level models will be used to evaluate transport and fate of contaminants in the air, groundwater and surface water media for a course project based on a hypothetical yet realistic case study of an industrial facility in the Washington DC region. Students will be responsible for data setup and coding of equations to create Excel spreadsheet models for contaminant fate and transport in the air and surface water and will be responsible for data setup for application of a public-domain Excel spreadsheet model for subsurface contaminant fate and transport in groundwater. Although there are no formal prerequisites for this course, the instructors strongly recommend that the student have a college-level understanding of calculus and fluid mechanics and have good quantitative skills with engineering calculations. Proficiency with the Microsoft Excel spreadsheet program is critical for data setup, coding of equations for model calculations and creating graphic plots of data and multi-media model results.</t>
  </si>
  <si>
    <t>EN.575.643</t>
  </si>
  <si>
    <t>Chemistry of Aqueous Systems</t>
  </si>
  <si>
    <t>This course examines the chemical principles necessary to understand water quality and contaminant fate in natural and engineered aqueous systems. Quantitative problem-solving skills are emphasized. Specific topics include acid-base reactions, carbonate chemistry, oxidation-reduction reactions, and metal speciation. Case studies applying fundamental principles to important environmental phenomena (e.g., water disinfection, lead contamination of drinking water, soil/subsurface pollution, ocean acidification, and geoengineering) are key components of this course.</t>
  </si>
  <si>
    <t>EN.575.645</t>
  </si>
  <si>
    <t>Environmental Microbiology</t>
  </si>
  <si>
    <t>This course covers fundamental aspects of microbial physiology and microbial ecology. Specific areas of focus include energetics and yield, enzyme and growth kinetics, cell structure and physiology, metabolic and genetic regulation, microbial/ environmental interactions, and biogeochemical cycles. The goal of this course is to provide a basic understanding and appreciation of microbial processes that may be applicable to environmental biotechnology.</t>
  </si>
  <si>
    <t>EN.575.704</t>
  </si>
  <si>
    <t>Applied Statistical Analysis and Design of Experiments for Environmental Applications</t>
  </si>
  <si>
    <t>This course introduces statistical analyses and techniques of experimental design appropriate for use in environmental applications. The methods taught in this course allow the experimenter to discriminate between real effects and experimental error in systems that are inherently noisy. Statistically designed experimental programs typically test many variables simultaneously and are very efficient tools for developing empirical mathematical models that accurately describe physical and chemical processes. They are readily applied to production plant, pilot plant, and laboratory systems. Topics covered include fundamental statistics; the statistical basis for recognizing real effects in noisy data; statistical tests and reference distributions; analysis of variance; construction, application, and analysis of factorial and fractional-factorial designs; screening designs; response surface and optimization methods; and applications to pilot plant and waste treatment operations. Particular emphasis is placed on analysis of variance, prediction intervals, and control charting for determining statistical significance as currently required by federal regulations for environmental monitoring.Prerequisite: Undergraduate statistics is strongly recommended</t>
  </si>
  <si>
    <t>EN.575.708</t>
  </si>
  <si>
    <t>Open Channel Hydraulics</t>
  </si>
  <si>
    <t>The course covers application of the principles of fluid mechanics to flow in open channels. Topics include specific energy and momentum basics, uniform flow, flow resistance, gradually varied flow, flow transitions, channel design, channel stability and erosion protection, and hydraulic structures. The course also addresses 1D flow numerical computations in irregular and natural channels, and gradually varied flow modeling using HEC-RAS computer software.</t>
  </si>
  <si>
    <t>EN.575.713</t>
  </si>
  <si>
    <t>Field Methods in Habitat Analysis, Wetland Delineation, and Restoration</t>
  </si>
  <si>
    <t>This course provides students with practical field experience in the collection and analysis of field data needed for wetland delineation, habitat restoration, and description of vegetation communities. Among the course topics are sampling techniques for describing plant species distributions, abundance and diversity, including the quadrat and transect-based, pointintercept, and plot-less methods; identification of common and dominant indicator plant species of wetlands and uplands; identification of hydric soils; and the use of soil, topographic and geologic maps and aerial photography in deriving a site description and site history. Emphasis is placed on wetland vegetation, delineation and restoration. While many of the field examples are centered in the Maryland and Washington, DC region, the format is designed so that the student performs field work in the state, country or region in which he or she would like to specialize.</t>
  </si>
  <si>
    <t>EN.575.716</t>
  </si>
  <si>
    <t>Principles of Estuarine Environment: The Chesapeake Bay Science and Management</t>
  </si>
  <si>
    <t>The course examines the basic physical, chemical, and biological components of the Chesapeake Bay ecosystem and how they interrelate in both healthy and degraded states of an estuary. The course focuses on the tidal waters of the Chesapeake Bay and its tributaries. It also covers the relationships of the bay with the surrounding watershed, atmosphere, and ocean as well as relevance to other coastal systems. Particular emphasis is on to anthropogenic stresses such as nutrient and contaminant pollution, habitat modification, and harvest of fish and shellfish. The most current Chesapeake Bay management issues and policies being pursued at the federal, state, and local levels of government are discussed in depth, including their scientific foundation.</t>
  </si>
  <si>
    <t>EN.575.717</t>
  </si>
  <si>
    <t>Hydrology</t>
  </si>
  <si>
    <t>This course introduces the fundamental physical principles that are necessary to understand the occurrence, distribution, and circulation of water near Earth’s surface. Students will be introduced to the global hydrological cycle and the influence of climate, geology, and human activity. Students will study the processes of precipitation and evapotranspiration; surface water flow, floods, and storage in natural and artificial reservoirs; groundwater flow; and whole-cycle catchment hydrology. Although less emphasized, water-quality and water resources management issues will be discussed and case studies presented. Throughout the course, a quantitative approach is taken in which mathematical descriptions of hydrological phenomena will frequently be an objective. The course will also provide an introduction to hydrological data acquisition and analysis.</t>
  </si>
  <si>
    <t>EN.575.727</t>
  </si>
  <si>
    <t>Environmental Monitoring and Sampling</t>
  </si>
  <si>
    <t>Environmental monitoring and sampling provides the information needed for assessments of compliance with environmental criteria and regulatory permits, and status/trends to evaluate effectiveness of regulatory controls. Students will prepare a Sampling and Analysis Plan (SAP) as a course project to support a site-specific field data collection study for environmental sampling of air, surface water, groundwater, and soils. An overview of historical/current environmental issues, including public health and environmental impacts, for air, surface water, groundwater, and soil, is presented. An overview of regulatory requirements of federal environmental statutes and assessments of effectiveness of the Clean Water Act, Clean Air Act, Safe Drinking Water Act, CERCLA, and RCRA is presented. The course describes pollutant sources and physical, chemical, biological processes that govern transport and fate of contaminants in air, surface water, groundwater, and soils. The course examines the principles, methods, and strategies for monitoring and sampling of air, surface water, groundwater, and soil. Sampling methods are presented for discrete sampling, automated data acquisition, and remote sensing for air, surface water, groundwater, and soils. SAP requirements for the course project will be presented, including key elements of Quality Assurance Project Plans and Field Sampling Plans. The course presents selected concepts of environmental statistics; an overview of data sources available from EPA, USGS and other agencies for air, surface water, groundwater, and soils; and interpretation of environmental data sets with GIS/mapping, data analysis, and statistical methods to support decision-making, site characterization, and evaluation of status/trends. Students will research online opportunities for “virtual” field trips to observe field sampling methods for air, surface water, groundwater, and soils media.</t>
  </si>
  <si>
    <t>EN.575.728</t>
  </si>
  <si>
    <t>Sediment Transport and River Mechanics</t>
  </si>
  <si>
    <t>This course emphasizes the basics of sediment transport, erosion, and deposition, focusing on how flow and transport dynamics shape river channels. Topics include boundary-layer flow, physical properties of sediment, incipient motion, bedload, and suspended-sediment transport. Fluvial geomorphic principles of channel morphology are explored through discussion of channel equilibrium, channel meandering, and channel change. Sediment flux is examined using a sediment budget framework that integrates key components such as bank erosion, upland erosion, and floodplain deposition. Modern approaches for constructing sediment budgets, including sediment fingerprinting and DEM differencing, are presented. The course also considers the influence of natural and human forcings on river systems and sediment transport.Prerequisite(s): A course in fluid mechanics or an equivalent course in fluid flow or hydraulics. A course in statistics is strongly encouraged.</t>
  </si>
  <si>
    <t>EN.575.730</t>
  </si>
  <si>
    <t>Geomorphic and Ecologic Foundations of Stream Restoration</t>
  </si>
  <si>
    <t>This course presents principles from hydrology, sedimentation engineering, geomorphology, and ecology relevant to the design and evaluation of stream restoration projects. A watershed context is emphasized in developing the background needed to assess different design approaches. After developing a common foundation in stream dynamics, the course considers trade-offs among restoration objectives, the merits of analog and predictive approaches, the role of uncertainty in restoration design, and metrics for assessing ecological recovery. The course includes online discussions, design exercises, and review papers and finishes with an assessment of a stream in students’ geographic regions.</t>
  </si>
  <si>
    <t>EN.575.744</t>
  </si>
  <si>
    <t>Environmental Chemistry</t>
  </si>
  <si>
    <t>This course focuses on the environmental behavior and fate of anthropogenic contaminants in aquatic environments. Students learn to predict contaminant properties influencing contaminant transfers between hydrophobic phases, air, water, sediments, and biota, based on a fundamental understanding of physico-chemical properties, intermolecular interactions, and basic thermodynamic principles. Mechanisms of important transformation reactions and techniques and quantitative models for predicting the environmental fate or human exposure potential of contaminants are discussed.</t>
  </si>
  <si>
    <t>EN.575.763</t>
  </si>
  <si>
    <t>Nanotechnology and the Environment: Applications and Implications</t>
  </si>
  <si>
    <t>This course explores the positives and negatives of nanotechnology: the benefits to use in commercial and environmental applications, as well as considering nanoparticles as an emerging environmental contaminant. The course will analyze nanotechnology through an interdisciplinary outlook for a life-cycle analysis. This analysis will begin with synthesis, manufacturing, unintentional releases, and disposal. We will consider ecological consequences and public health implications of the use of nanotechnology. Students will learn the science behind nanotechnology and how nanoparticle characteristics impact transport in the environment, including human exposure assessment, and a discussion of current measurement tools. Policies regulating nanotechnology and risk assessment will be addressed.</t>
  </si>
  <si>
    <t>environmental_planning_and_management</t>
  </si>
  <si>
    <t>EN.575.608</t>
  </si>
  <si>
    <t>Optimization Methods for Public Decision Making</t>
  </si>
  <si>
    <t>This course is an introduction to decision support models used in environmental planning and management. We will develop and apply analytical methods and mathematical models that help decision makers solve complex environmental and socio-economic problems and formulate associated policies. There is a focus on real-world problems in the public sector, including urban facility location, transportation planning, water resources management, biological conservation, and landscape resources management. You will learn how to structure and analyze problems and formulate optimization models to make the most of limited resources and achieve specified objectives related to efficiency, cost-effectiveness, environmental protection, public health, and fairness to stakeholder groups and to the public. The types of models covered in this course are linear programming, integer programming, and multi-objective models. Algorithmic solution methods are reviewed, and computer-based solution methods are applied in the context of a course project. Prerequisite: pre-calculus mathematics including algebra with multiple variables.</t>
  </si>
  <si>
    <t>EN.575.611</t>
  </si>
  <si>
    <t>Economic Foundations for Public Decision Making</t>
  </si>
  <si>
    <t>The course examines intermediate-level price theory and surveys applications to public-sector decision making. Topics include demand, supply, behavior of the market, and introductory welfare economics. Applications include forecasting, cost-benefit analysis, engineering economics, and public sector pricing.</t>
  </si>
  <si>
    <t>EN.575.628</t>
  </si>
  <si>
    <t>Business Law For Engineers</t>
  </si>
  <si>
    <t>This course introduces engineers to the basic legal principles they will encounter throughout their careers. Course discussions cover contracts (formation, performance, breach, and termination), corporations and partnerships, insurance, professional liability, risk management, environmental law, torts, property law, and evidence and dispute resolution. The course emphasizes those principles necessary to provide engineers with the ability to recognize issues that are likely to arise in the engineering profession and introduces them to the complexities and vagaries of the legal profession. This course also affords a proper foundation for students interested in law-related ancillary careers such as forensic consulting.</t>
  </si>
  <si>
    <t>EN.575.635</t>
  </si>
  <si>
    <t>Environmental Law for Engineers &amp; Scientists</t>
  </si>
  <si>
    <t>This course provides a comprehensive introduction to essential legal concepts related to environmental issues and federal laws aimed at safeguarding public health and the environment. Students will examine regulations governing discharges and emissions of pollutants into the air, water, and soil, as well as actions contributing to climate change, the management of natural resources, and the protection of at-risk animal and plant species. Key federal environmental statutes are covered in detail, including the Clean Air Act, Clean Water Act, Resource Conservation and Recovery Act (RCRA), Comprehensive Environmental Response, Compensation, and Liability Act (CERCLA, Toxic Substances Control Act (TSCA, Endangered Species Act, and the Safe Drinking Water Act. The course will also provide an overview of zoning and local land use laws in the context of environmental protection. Students will analyze the interplay between statutes, regulations, judicial interpretations, and the practices of the administrative agencies responsible for implementing and enforcing the laws. The course includes discussions on the purposes and applications of environmental assessments in business transactions, attorney related privileges, unauthorized practice of law, ethical dilemmas encountered by engineers and scientists, and the distinctions between legal and scientific professionals.</t>
  </si>
  <si>
    <t>EN.575.637</t>
  </si>
  <si>
    <t>Environmental Impact Assessment</t>
  </si>
  <si>
    <t>This course provides a thorough review and application of the Environmental Impact Assessment (EIA) process and the National Environmental Policy Act (NEPA.) It covers selection of scientific, engineering, and socioeconomic factors in EIA; identification of quantitative and qualitative environmental evaluation criteria; EIA life cycle application of techniques for assessing impacts of predicted changes in environmental quality; approaches for identifying, measuring, predicting, and mitigating environmental impacts; modeling techniques as employed in EIA; environmental standards in the EIA process; sustainable development goals (SDG) as applied to EIA, methodologies for incorporating EIA into management decision-making. EIA alignment with climate change and Diversity, Equity, and Inclusion (DEI) as related to EIA are addressed. Case studies of EIA for several types of engineering projects are employed. Students acquire the knowledge to prepare an EIA, critically review and analyze an EIA, apply EIA as an important tool in management decision-making processes and develop a comprehensive analytical example of an Environmental Impact Statement (EIS).</t>
  </si>
  <si>
    <t>EN.575.640</t>
  </si>
  <si>
    <t>Geospatial Intelligence: the art and science for better understanding our world</t>
  </si>
  <si>
    <t>Through lectures and laboratory exercises, this course illustrates the fundamental concepts of GIS and remote sensing technologies in the context of environmental engineering. Topics include the physical basis for remote sensing, remote sensing systems, digital image processing, data structures, database design, and spatial data analysis. The course is not intended to provide students with extensive training in particular image processing or GIS packages. However, handson computer laboratory sessions re-enforce critical concepts. Completion of a term project is required.</t>
  </si>
  <si>
    <t>EN.575.707</t>
  </si>
  <si>
    <t>Environmental Compliance Management</t>
  </si>
  <si>
    <t>The course covers compliance with environmental laws and regulations by industry, small business, government facilities, and others. It includes legal responsibilities, environmental management systems, and practices such as audits and information systems and development of corporate policies and procedures that rise to the daunting challenge to harmonize the institution’s primary goals with its environmental obligations. Several dimensions of environmental management are discussed: federal, state, and local regulation; scientific/technical factors; public relations and the press; and institutional objectives including economic competitiveness.</t>
  </si>
  <si>
    <t>EN.575.710</t>
  </si>
  <si>
    <t>Financing Environmental Projects</t>
  </si>
  <si>
    <t>This course treats the financing of projects from two complementary perspectives: that of a government agency funding source, and that of an environmental utility (water, wastewater, solid waste) that needs funds for its project. It discusses grants, concessionary loans, market loans, and loan guaranties, along with their relative desirability and efficiency. Since grant funding is never available for all projects, the course deals extensively with borrowing/lending. It discusses strategies for maximizing utility income, including appropriate tariff structures and the reform of government subsidy policy from supply-based general subsidies to demand-based targeted subsidies. Operational strategies to maximize income are also discussed, such as techniques to improve billing and collections, reduce losses, and reduce energy costs. Traditional cash flow analyses are used to determine debt service capabilities. Various project cost reduction strategies, such as staging and scaling, are introduced. Grants in the form of upfront project cost buy-downs vs. annual debt service subsidies are compared. Finally, several examples of project financing combining many of the elements introduced during the course are presented and analyzed. Advocacy skills for financing environmental projects and obtaining funding sources are major areas of focus.</t>
  </si>
  <si>
    <t>EN.575.714</t>
  </si>
  <si>
    <t>Water Resources Management</t>
  </si>
  <si>
    <t>This course examines the technical, economic, and social aspects of managing water resources. A review of water fundamentals involving physical, chemical, and biological systems provides a foundation. Students are given a historical basis for thinking about and resolving contemporary challenges. Observed and predicted climate change impacts on water resources are explored along with management implications and responses. Key water law concepts, their roots in social institutions, and current traditional institutions are covered. The course surveys regulatory instruments, like permits, and their operation across federal, state, and local levels of government. Funding and financing issues are covered. The course addresses the management of water supply and demand in the United States. Fundamentals of flood and drought management are covered, with attention given to climate change. Water quality-based management under the federal Clean Water Act includes the topics of water quality standards, water quality assessments, total maximum daily loads (TMDLs), and implications for permit requirements. Regional ecological water resources management is addressed by contrasting the Chesapeake Bay case with other cases. The topic of natural environmental flows explores the benefits of natural flow variability and the interrelationships among five key functions that characterize the health of a stream and support stream restoration design. Water resource management decision making is addressed in terms of structured techniques involving economic analyses, multi-objective analyses, and collaborative decision making with a focus on the role of public involvement. Students will be led in the development of a well-defined, substantive water resources management research question as part of a course project.</t>
  </si>
  <si>
    <t>EN.575.731</t>
  </si>
  <si>
    <t>Water Resources Planning</t>
  </si>
  <si>
    <t>The course will discuss the application and interrelationships among microeconomics, ecology, hydrology, and fields related to the planning and management of water systems. Topics will include flood control, navigation, hydroelectric power, water supply, environmental restoration, multi-objective planning, and urban water resource management. The course will demonstrate the process for planning a water resource project, including identifying the problems and opportunities, inventorying and forecasting conditions, formulating alternative plans, evaluating alternative plans, comparing alternative plans, and selecting a plan. Particular attention will be paid to the appropriate interdisciplinary approach to plan formulation.</t>
  </si>
  <si>
    <t>EN.575.737</t>
  </si>
  <si>
    <t>Environmental Security with Applied Decision Analysis Tools</t>
  </si>
  <si>
    <t>This multi-disciplinary course examines current and emerging environmental security issues at multinational, national, and regional scales. These issues are approached from the perspective of decision-making for policy, planning, and management. The course begins with an overview and definitions of environmental security within the context of present global demographic patterns, use of natural resources, and climate change. The theory and principles of multi-criteria decision analysis (MCDA) are reviewed, using environmental security examples to illustrate concepts. Three MCDA methodologies are presented, including multi-attribute weighting, Analytic Hierarchy Process, and outranking, which are commonly used to assist decision makers. The MCDA approach is critiqued from the perspective of measurement theory and guidelines for MCDA use are suggested. With both the social sciences and natural sciences providing a framework, several specific environmental security topics are covered in greater depth: energy; air quality; ecosystems and biodiversity; fresh water; agriculture and food; and sea level rise. Within these topics, students will develop MCDA models for particular policy, planning, and management problems under the guidance of the instructors. The course concludes by considering the prospects for environmental security and sustainability in the coming decades.</t>
  </si>
  <si>
    <t>EN.575.747</t>
  </si>
  <si>
    <t>Environmental Project Management</t>
  </si>
  <si>
    <t>This course provides students with the knowledge for an integrated approach to environmental project management, applying pertinent scientific, engineering, legal, public policy, and project management disciplines. Emphasis is placed on factors that are common to an environmental project, such as external impacts, stakeholder conflicts, scope uncertainty, and the evolving environmental regulatory environment. The students learn the elements of environmental project plans, including project organization and staffing, schedule dependencies and optimization, cost estimating and control, and communication with internal and external stakeholders. The types of environmental projects addressed include infrastructure, restoration and remediation, program development, and alternatives analysis. Project Management Institute materials are utilized, along with case studies, to illustrate actual project conflicts, necessary adjustments, and successes.</t>
  </si>
  <si>
    <t>EN.575.751</t>
  </si>
  <si>
    <t>Environmental Justice, Climate, and Health Equity</t>
  </si>
  <si>
    <t>Environmental planners are uniquely positioned to address climate change, environmental health, and health equity. The will course lectures and applied exercises will offer students a first-hand experience assessing the impact of environmental planning on climate and public health and the impact of environmental justice movements in the United States and globally. Students will harness evidence-based practices with community stakeholders to address emerging environmental and public health challenges. These applied exercises with community stakeholders will reinforce seminal course concepts.</t>
  </si>
  <si>
    <t>EN.575.753</t>
  </si>
  <si>
    <t>Strategic Environmental Communication in the AI Era</t>
  </si>
  <si>
    <t>In the context of our digital age, this course aims to help science and engineering students develop dynamic skills for communicating environmental concepts to stakeholders, including experts in different fields, policy decision makers, and the interested public. The course covers the importance of clear truthful communication of complex scientific information for the development and acceptance of technologies, creation of public policy, and launching community-based initiatives. The course will specifically include active exploration of AI and other creative tools and their appropriate use for scientific communications. Students will learn methods of engagement, storytelling, and designing key messages for global, national, and local issues through a course project on a student-selected topic. Major types of communication media are covered, including written communication and graphics, online communications in short- and long-form media, and interactive communications such as surveys and citizen science to involve stakeholders in the creation and analysis of technical data and dispersed information. The emphasis of the course is from the point of view of an environmental or energy professional (not a marketing professional), and on developing an effective science-based communications portfolio to share complex scientific information with a broad range of interested parties through a variety of available modern tools.</t>
  </si>
  <si>
    <t>EN.575.759</t>
  </si>
  <si>
    <t>Environmental Policy Analysis</t>
  </si>
  <si>
    <t>The course explores the process of analyzing environmental policies to ensure human health, that environmental needs are protected, and that the physical environment is preserved, protected, and restored, if necessary. Emphasis is placed on the need to evaluate and make decisions regarding environmental science, human health, sociopolitical, technological, legal, and economic considerations in a context of incomplete information and uncertain futures. Case studies and policies relating to various contemporary environmental issues, for example hazardous waste disposal, natural resource extraction and preservation of natural resources, are critiqued during the semester. The course will lead students through the various steps of the policy analysis process. Students are expected to evaluate policy alternatives, develop evaluation criteria, and apply qualitative and quantitative methods to determine consequences, trade-offs, and potential synergies relating to these environmental issues. Students will then use these skills to create and execute an individual research project that analyzes an environmental policy relating to a specific issue of interest to them, evaluating potential responses to environmental management problems through analyzing the impacts of each policy alternative.</t>
  </si>
  <si>
    <t>financial_mathematics</t>
  </si>
  <si>
    <t>EN.555.627</t>
  </si>
  <si>
    <t>Stochastic Processes and Applications to Finance</t>
  </si>
  <si>
    <t>A development of stochastic processes with substantial emphasis on the processes, concepts, and methods useful in mathematical finance. Relevant concepts from probability theory, particularly conditional probability and conditional expection, will be briefly reviewed. Important concepts in stochastic processes will be introduced in the simpler setting of discrete-time processes, including random walks, Markov chains, and discrete-time martingales, then used to motivate more advanced material. Most of the course will concentrate on continuous-time stochastic processes, particularly martingales, Brownian motion, diffusions, and basic tools of stochastic calculus. Examples will focus on applications in finance, economics, business, and actuarial science.</t>
  </si>
  <si>
    <t>EN.555.636</t>
  </si>
  <si>
    <t>Introduction to Data Science</t>
  </si>
  <si>
    <t>Today the term Data Science is widely used covering a broad range of topics from mathematics and algorithms to actual data analysis and machine learning techniques. This course provides a thorough survey of relevant methods balancing the theory and the application aspects. Accordingly, the material and the discussions alternate between the methodology along with its underlying assumptions and the implementations along with their applications. We will cover several supervised methods for regression and classification, as well as unsupervised methods for clustering and dimensional reduction. To name a few in chronological order, the topics will include generalized linear regression, principal component analysis, nearest neighbor and Bayesian classifiers, support vector machines, logistic regression, decision trees, random forests, K-means clustering, Gaussian mixtures and Laplacian eigenmaps. The course uses Python and Jupyter Notebook and includes visualization techniques throughout the semester. Time permitting, an introduction to the Structured Query Language (SQL) is provided toward the end of the semester.</t>
  </si>
  <si>
    <t>EN.555.642</t>
  </si>
  <si>
    <t>Investment Science</t>
  </si>
  <si>
    <t>This is the key introductory course for the financial mathematics program and introduces the major topics of investment finance. The investment universe, its context of markets, and the flow of global capital are introduced. Details of equities, interest, bonds, commodities, forwards, futures, and derivatives are introduced to varying degree. The concepts of deterministic cash flow stream, valuation, term structure theories, risk, and single- and multi-period random cash flows are presented. Here the neoclassical theory of finance is introduced including the topics of efficient markets, the risk-return twins leading to the mean variance Capital Asset Pricing Model (CAPM), the efficient frontier, the intertemporal models, and Arbitrage Pricing Theory (APT). Some introductory models of asset dynamics (including the binomial model), basic options theory, and elements of hedging are also included in this course. Course Note(s): This course is the same as EN.553.642 offered by through the full-time Applied Mathematics &amp; Statistics department for the residence Master of Science in Engineering in Financial Mathematics.</t>
  </si>
  <si>
    <t>EN.555.644</t>
  </si>
  <si>
    <t>Introduction to Financial Derivatives</t>
  </si>
  <si>
    <t>This is the first of a two-course sequence devoted to the mathematical modeling of securities and the markets in which they are created and exchanged. The basic cash, hybrid, and derivative instruments are reviewed and set in a rigorous mathematical context. This includes equities, bonds, options, forwards, futures, and swaps, as well as their dealer, overthe-counter, and exchange environment. Models of the term structure of interest rates, spot rates and, the forward rate curve are treated; derived from cash instruments (e.g., bonds and interest rates like LIBOR) as well as from derivatives (such as Eurodollar futures and swaps). Principles of static, discrete, continuous and dynamic probabilistic models for derivative analysis (including the Weiner process, Ito’s Lemma, and an introduction to risk-neutral valuation) are applied to develop the binomial tree approach to option valuation, the Black-ScholesMerton differential equation, and the Black-Scholes formulas for option pricing. Course Note(s): This course is the same as EN.553.644 offered by through the full-time Applied Mathematics &amp; Statistics department for the residence Master of Science in Engineering in Financial Mathematics.</t>
  </si>
  <si>
    <t>EN.555.645</t>
  </si>
  <si>
    <t>Interest Rate and Credit Derivatives</t>
  </si>
  <si>
    <t>This is the second of a two-course sequence devoted to the mathematical modeling of securities and the markets in which they are created and exchanged. Focus turns to interest rate derivatives and the credit markets. The martingale approach to risk-neutral valuation is covered, followed by interest rate derivatives and models of the short rate process (including Heath, Jarrow &amp; Morton and the Libor Market Model); analysis of bonds with embedded options and other interest rate derivatives (e.g., caps, floors, swaptions). Credit risk and credit derivatives, including copula models of time to default, credit default swaps, and a brief introduction to collateralized debt obligations will be covered. A major component of this course is computational methods. This includes data and time series analysis (e.g., estimation of volatilities), developing binomial and trinomial lattices and derivative analysis schemes, and numerical approaches to solving the partial differential equations of derivatives. Course Note(s): This course is the same as EN.553.645 offered through the full-time Applied Mathematics &amp; Statistics department for the residence Master of Science in Engineering in Financial Mathematics.</t>
  </si>
  <si>
    <t>EN.555.646</t>
  </si>
  <si>
    <t>Financial Risk Management and Measurement</t>
  </si>
  <si>
    <t>This course applies advanced mathematical techniques to the measurement, analysis, and management of risk. The focus is on financial risk. Sources of risk for financial instruments (e.g., market risk, interest rate risk, credit risk) are analyzed; models for these risk factors are studied and the limitation, shortcomings, and compensatory techniques are addressed. Throughout the course, the environment for risk is considered, be it regulatory or social (e.g., Basel capital accords). A major component of the course are the Value at Risk (VaR) and Conditional VaR measures for market risk in trading operations, including approaches for calculating and aggregating VaR, testing VaR, VaR-driven capital for market risk, and limitations of the VaR-based approach. Asset Liability Management (ALM), where liquidity risk as well as market risk can affect the balance sheet, is analyzed. Here, models for interest rate, spread, and volatility risks are applied to quantify this exposure. Another major component of the course is credit risk. Sources of credit risk, how measured risk is used to manage exposure, credit derivatives, techniques for measuring default exposure for a single facility (including discriminant analysis and Mertonbased simulation), portfolio risk aggregation approaches (including covariance, actuarial, Merton-based simulation, macro-economic default model, and the macro-economic cashflow model - for structured and project finance). Finally, there is a brief introduction to concepts and tools that remain valid for large and extreme price moves, including the theory of copulas and their empirical testing and calibration. Course Note(s): This course is the same as EN.553.646 offered through the full-time Applied Mathematics &amp; Statistics department for the residence Master of Science in Engineering in Financial Mathematics.</t>
  </si>
  <si>
    <t>EN.555.647</t>
  </si>
  <si>
    <t>Quantitative Portfolio Theory &amp; Performance Analysis</t>
  </si>
  <si>
    <t>This course focuses on modern quantitative portfolio theory, models, and analysis. Topics include intertemporal approaches to modeling and optimizing asset selection and asset allocation; benchmarks (indexes), performance assessment (including Sharpe, Treynor, and Jenson ratios) and performance attribution; immunization theorems; alpha-beta separation in management, performance measurement, and attribution; Replicating Benchmark Index (RBI) strategies using cash securities/derivatives; Liability-Driven Investment (LDI); and the taxonomy and techniques of strategies for traditional management (Passive, Quasi-Passive [Indexing] Semi-Active [Immunization &amp; Dedicated] Active [Scenario, Relative Value, Total Return and Optimization]). In addition, risk management and hedging techniques are also addressed. Course Note(s): This course is the same as EN.553.647 offered through the full-time Applied Mathematics &amp; Statistics department for the residence Master of Science in Engineering in Financial Mathematics.</t>
  </si>
  <si>
    <t>EN.555.648</t>
  </si>
  <si>
    <t>Financial Engineering and Structured Products</t>
  </si>
  <si>
    <t>This course focuses on structured securities and the structuring of aggregates of financial instruments into engineered solutions of problems in capital finance. Topics include the fundamentals of creating asset-backed and structured securities—including mortgage-backed securities (MBS), stripped securities, collateralized mortgage obligations (CMOs), and other asset-backed collateralized debt obligations (CDOs)— structuring and allocating cash-flows as well as enhancing credit; equity hybrids and convertible instruments; asset swaps, credit derivatives, and total return swaps; assessment of structure-risk interest rate-risk and credit-risk as well as strategies for hedging these exposures; managing portfolios of structured securities; and relative value analysis (including OAS and scenario analysis). Course Note(s): This course is the same as EN.553.648 offered through the full-time Applied Mathematics &amp; Statistics department for the residence Master of Science in Engineering in Financial Mathematics.</t>
  </si>
  <si>
    <t>EN.555.651</t>
  </si>
  <si>
    <t>Numerical Methods for Quantitative Finance</t>
  </si>
  <si>
    <t>EN.555.661</t>
  </si>
  <si>
    <t>information_systems_engineering</t>
  </si>
  <si>
    <t>EN.635.601</t>
  </si>
  <si>
    <t>Foundations of Information Systems Engineering</t>
  </si>
  <si>
    <t>Creating and operating large-scale information systems requires a holistic approach that manages the blending of software, hardware, networks, and security inherent in modern systems. This course introduces key elements and processes required for designing, analyzing, developing, and integrating complex information systems. The course focuses on the systems engineering approach with specific emphasis on design, development, and deployment. Topics covered include requirements engineering, architecture development, security engineering, cost-benefit analysis, information and networking technologies, and operations. Course Note(s): The required foundation courses may be taken in any order but must be taken before other courses in the degree.</t>
  </si>
  <si>
    <t>EN.635.603</t>
  </si>
  <si>
    <t>AI/ML Ops</t>
  </si>
  <si>
    <t>This course provides a comprehensive exploration of Artificial Intelligence (AI) and Machine Learning (ML) Operations (AI/ML Ops), focusing on their integration with operations and IT practices. Students will learn foundational AI/ML Ops concepts, including frameworks for building and deploying AI/ML models, infrastructure optimization for machine learning, effective data management, and strategies for successfully adopting AI within organizations. The curriculum emphasizes key areas such as model training and deployment, the stages and features of AI/ML Ops, preparing for production environments, and ensuring robust security and governance. Emerging trends in AI/ML Ops and practical, real-world applications are also discussed. By the course’s conclusion, students will be well-prepared to design and implement a tailored MLOps strategy to meet organizational needs.</t>
  </si>
  <si>
    <t>EN.635.611</t>
  </si>
  <si>
    <t>Principles of Network Engineering</t>
  </si>
  <si>
    <t>This course provides a introductory technical overview of networking and telecommunications for the engineering practitioner. Topics include voice, data, and video communication system fundamentals, including signaling, frequency concepts, transmission media, multiplexing, spread spectrum, signal encoding, error control, switching, and basic terminology. The OSI and TCP/IP reference models are examined along with the basic concepts of protocols, service interfaces, encapsulation, and layering. The course also covers networking and telecommunication techniques, applications technology, and networking topologies and Internetworking architectures. Specific areas discussed include LAN system fundamentals, such as IEEE 802.3 Ethernet, IEEE 802.11 wireless LANs and IEEE 802.15/Bluetooth; and wide-area systems such as cellular and satellite networks. TCP/IP infrastructure and protocols are extensively covered including IP routing, transport layer protocols, and applications including web, email, and real-time applications such as Voice over IP (VoIP). The course also covers the basic principles and protocols for Network Security (IPsec, SSL/TLS) and Management (SNMP).</t>
  </si>
  <si>
    <t>EN.635.622</t>
  </si>
  <si>
    <t>Intelligent Decision Engineering</t>
  </si>
  <si>
    <t>This course will cover the core concepts and applications of decision science in enabling and enhancing human decision making. The decision science topics include prescriptive, descriptive, and normative models; utility and value theories, biases, and human values. Further, the course will motivate the student to explore three perspectives on human decision making - heuristics based approach, natural decision making and military decision making. The course will emphasize the importance of data, information, decisional contexts and enablement of informed human decision making. The assignments (readings, discussions, project and research paper) weigh decision science and its real-world applications equally. Prerequisites (knowledge of undergraduate level probability and statistics).</t>
  </si>
  <si>
    <t>EN.635.627</t>
  </si>
  <si>
    <t>Intelligent Decision Support Systems</t>
  </si>
  <si>
    <t>Businesses and organizations are flooded with a variety of data from a vast number of sources. Data analysis and use of data analytics in data-driven decision-making processes has become the go-to strategy for business success and for gaining sustainable competitive advantage.This course will introduce students to the technologies that are generally and collectively called “analytics” used to support effective decision-making processes for business. Course topics will cover the latest trends in analytics, including scalable AI, machine learning, IoT, and smart/robo-collaborative assisting systems, composable data and analytics, data fabric, small data models, and XOps. This course will enable students to apply deep knowledge of predictive, descriptive analytics, big data, and web analytics to the development of the best business solutions for their organizations. They will also know which kinds of analytics to apply to specific decision contexts.</t>
  </si>
  <si>
    <t>EN.635.629</t>
  </si>
  <si>
    <t>AI Assurance</t>
  </si>
  <si>
    <t>Traditional test and evaluation approaches have focused on verifying that systems meet specified requirements or characterizing their effectiveness. These methods typically involve identifying relevant factors and quantifying uncertainty to determine how many samples are needed. However, AI-enabled systems—and other highly complex systems—vastly expand the possible state space and introduce nonlinear behaviors, making it impractical to gather enough real-world data to confidently ensure reliable performance in critical scenarios. This class addresses this challenge by broadening the types of evidence used to build confidence in system performance. Rather than relying solely on conventional testing, AI Assurance constructs structured arguments that link high-level claims about a system’s behavior to diverse forms of supporting evidence. This includes traditional test data as well as alternative sources, all tied together with clear reasoning and explicitly stated assumptions to justify trust in the system. In this seminar course, students will explore the emerging field of AI Assurance by reading and presenting academic papers, developing and presenting original research, and producing a publication-quality final paper as part of a capstone project.</t>
  </si>
  <si>
    <t>EN.635.631</t>
  </si>
  <si>
    <t>Foundations of Data Analytics</t>
  </si>
  <si>
    <t>This foundation course provides an overview of data analysis process, and introduces students to common techniques for data preprocessing, feature extraction, and the creation of statistical models. In particular, students will develop competence in areas of high importance for data scientists and engineers, such as: exploring the trade-off between bias and variance, selecting and creating features, regularizing models, determining optimal hyperparameters, and evaluating model performance. Multiple datasets and data types (e.g., unstructured text, imagery, and time-varying signals) will be considered with the goal of building student confidence across a spectrum of analysis challenges. Particular topics include linear and non-linear regression, decision trees, various approaches to dimensionality reduction, clustering, topic modeling, Bayesian methods, and neural networks. Prerequisite(s): Programming experience in Python, introductory linear algebra, and probability theory recommended.</t>
  </si>
  <si>
    <t>EN.635.632</t>
  </si>
  <si>
    <t>Data Engineering for AI Systems</t>
  </si>
  <si>
    <t>This graduate-level course immerses students in the fast-evolving world of data engineering for artificial intelligence, focusing on the design and deployment of scalable, secure, and intelligent data ecosystems. Students will master the end-to-end data pipeline—from smart data ingestion and preprocessing to cloud-native storage, real-time integration, and privacy-enhancing technologies—within AI and machine learning frameworks. Leveraging cutting-edge cloud platforms such as AWS, Azure, and Google Cloud, participants will gain hands-on experience with industry-standard tools for data wrangling, visualization, and operationalization. The course emphasizes high-impact applications in fintech and biotech, while addressing critical issues in ethical AI, cybersecurity, and responsible data governance. Designed for future data scientists, AI engineers, and tech innovators, this course requires foundational knowledge in AI, programming, and machine learning.</t>
  </si>
  <si>
    <t>EN.635.661</t>
  </si>
  <si>
    <t>Principles of Human Computer Interaction</t>
  </si>
  <si>
    <t>Well-designed human-computer interaction (HCI) is critical to the success of computer and information systems. This course focuses on the HCI design process and covers the underlying scientific principles, HCI design methodology, and the user-interface technology used to implement HCI. Topics include human cognition, HCI theories, user observation and task analysis, prototyping and evaluation techniques, user interface modalities and graphical user interface components, and accessibility. Selected additional topics may include HCI in website design, support of collaborative work, human interaction with automation, and ubiquitous computing. Student design projects are an integral part of the course. Reading the current HCI research literature is also required.</t>
  </si>
  <si>
    <t>EN.635.671</t>
  </si>
  <si>
    <t>Data Recovery &amp; Continuing Operations</t>
  </si>
  <si>
    <t>Data recovery and continuing operations refers to the processes, plans, and technologies required for an enterprise to achieve resiliency given unexpected events that may disrupt IT operations. This course provides an overview of the storage technologies to address backup, disaster recovery, and business continuity. Technologies that address auditing, redundancy, and resiliency in the infrastructure (e.g., networks, power, cooling, etc.) are described. Beyond the technologies, processes and plans for continuing operations are covered, including issues such as business continuity, disaster recovery, and risk management.</t>
  </si>
  <si>
    <t>EN.635.672</t>
  </si>
  <si>
    <t>Privacy Engineering</t>
  </si>
  <si>
    <t>Personal information has become a new class of digital property with immense value in commerce and of intense importance to national security and intelligence. Engineering any information system now requires a professional to protect privacy, preserve the information’s functional value, and navigate complex domestic and international legal and engineering rules Students will use new visual modeling and analysis tools for designing and executing privacy solutions in both the commercial and governmental sectors. Students will build a final specification for a privacy solution involving regulated personal information.</t>
  </si>
  <si>
    <t>EN.635.673</t>
  </si>
  <si>
    <t>Protecting Critical Infrastructure Against Cyber Attacks</t>
  </si>
  <si>
    <t>Cybersecurity is one of the most critical national issues of our time. The trend for cyber-attacks is rapidly increasing in enterprise networks and is extending into other domains like the Internet of Things (IoT) and Industrial Control Systems (ICS). Our 16 Critical Infrastructures are the powerhouses for our military might and our huge economy, and thus protecting these assets is paramount. This class will: (1) introduce students to the history of the problem of Cybersecurity, (2) introduce students to the 16 Critical Infrastructures, and (3) provide students hands-on experience with developing Cybersecurity technology to assess, defend, and monitor enterprise, IoT, and ICS networks.</t>
  </si>
  <si>
    <t>EN.635.674</t>
  </si>
  <si>
    <t>AI for Entrepreneurs</t>
  </si>
  <si>
    <t>The AI for Entrepreneurs course is a comprehensive, hands-on practical learning experience designed for student who have interest in transitioning to become AI entrepreneurs with the knowledge and skills necessary to leverage the power of AI in their business ventures. This course focuses on the practical applications of cutting-edge AI techniques, enabling students to develop innovative products and services that stand out in the competitive business landscape and prepare them to successfully interactive with financial investors including angels, venture capitalists, family offices, and institutional investors. The course will have many guest speakers and will culminate with a Shark Tank pitch session.</t>
  </si>
  <si>
    <t>EN.635.676</t>
  </si>
  <si>
    <t>Cybersecurity in Information Systems</t>
  </si>
  <si>
    <t>This course describes the systems security engineering process, focusing on security during the design and implementation of information systems. Topics include architecture and design principles, risk assessment, resiliency, and security metrics. The course addresses emerging topics in cybersecurity including wireless security, cloud security, cross domains and the government standards and processes for secure information systems; surveys many aspects of cybersecurity and its impact on the enterprise; and lays the groundwork to architect and build a natively more secure system that can withstand hacking attacks and continue to deliver basic functionality to the enterprise. We will address the federal government standards and recommendations as well as industry’s best practices. Students will cover the basic concepts of information security and research the latest security incidents including external attacks and internal leaks to assess and analyze the exploited vulnerabilities. By learning from current incidents, students can build systems that adapt quickly to emerging threats and potentially continue to serve the enterprise, even while under attack. Additionally, the course addresses the assessment of emerging technologies to determine the potential threats to the enterprise as well as the usability to secure the enterprise. Finally, we will address the subject of legal and ethical access control and the balance between privacy and security.</t>
  </si>
  <si>
    <t>EN.635.682</t>
  </si>
  <si>
    <t>Website Development</t>
  </si>
  <si>
    <t>This course covers the design and implementation of websites. Various web standards, as developed by the World Wide Web Consortium and browser manufacturers are studied. HTML5 specifications are covered, including topics such as text control, images, hypertext links, forms, and embedded objects (e.g., video and audio). Cascading style sheets (CSS3), a client-side language (such as JavaScript), and server-side programming are also covered. Design and development topics include ease of use/navigation, download time, maintaining a consistent look and feel across multiple pages, building mobile-friendly websites, and Web server selection and configuration. Additional topics include web tools, privacy and security, XML, JSON, and AJAX.</t>
  </si>
  <si>
    <t>EN.635.683</t>
  </si>
  <si>
    <t>E-Business: Models, Architecture, Technologies, and Infrastructure</t>
  </si>
  <si>
    <t>This course explores fundamental aspects of the e-Business (electronic business) phenomenon that is currently sweeping through the global economy, as well as design principles and technology used to build computer-based systems in order to support the notion of e-Business. E-Business (electronic business) is an umbrella term, an interdisciplinary topic encompassing both business and technology. This topic addresses a variety of business activities, business processes, and strategic business functions conducted over the Internet in order to service customers, to collaborate with business partners, and to maintain and sustain competitive advantage in the networking economy. The course introduces contemporary management philosophies as they have come to be used for the marketing, selling, and distribution of goods and services through the Internet and other electronic media. The course explores approaches of defining drivers and use cases of conducting electronic business. This course provides an overview of principles and analysis of different models of electronic business. It enables students to design effective e-Business models built on a foundation of business concepts, knowledge of the e-Business environment, and an understanding of the influence of the Internet on business stakeholders, including customers, suppliers, manufacturers, service makers, regulators, managers, and employees. In this course students undertake value analysis and learn to describe value propositions. Business architecture and software infrastructure used to engineer and build e-Business systems will be explained. The modern information technologies associated with the delivery of business capabilities over the Internet will be discussed. The course content will be reinforced by a variety of assignments.</t>
  </si>
  <si>
    <t>EN.635.711</t>
  </si>
  <si>
    <t>Advanced Topics in Network Engineering</t>
  </si>
  <si>
    <t>This course is designed to provide an advanced treatment of key topic areas in networking and telecommunications for students who have mastered the basic principles of network engineering. Key operational systems, protocols, and technologies are explored in local, wide, metro-area, storage, and wireless networking. Major topic areas include advanced LAN/WLAN technologies (Power over Ethernet, IEEE 802.1x authentication, VLANs, link aggregation, etc.), Storage Area Network technologies, Virtualized/Cloud networking, Optical Networking, IPv6, Spanning Tree and Dynamic IP routing protocols, “LastMile” Networking (DSL, Cable Modems, etc.), Label Switching, Multicasting, and Multicast routing, real-time application support mechanisms, Quality of Service protocols, Advanced Transport Layer topics (Congestion Notification, TCP options, etc.), and Network Security (address translation, VPNs, stateful inspection, etc.). A major component of the course will be a design project on one of the topic areas covered in the class.</t>
  </si>
  <si>
    <t>EN.635.775</t>
  </si>
  <si>
    <t>Cyber Operations, Risk, and Compliance</t>
  </si>
  <si>
    <t>This course provides a solid foundation of potential civil and criminal areas of liability, and certain areas in which compliance and risk management are critical. The overarching theme is detection and reduction of potential legal/cybersecurity risks. We start by exploring the legal and regulatory environment that influences and supports cyber-based activities and programs, focusing on multidisciplinary or integrated views of enterprise risk management. We will address key risk management issues from the legal and cybersecurity aspects and analyze legal/ cybersecurity issues in several of the critical infrastructure sectors, such as the financial services, healthcare and public health, and transportation systems sectors. We also review legal and regulatory compliance issues to address cybersecurity risk management for systems development, acquisition, and operation. This includes material impacting the manner in which the cyber community operates, for example, FITARA (Federal Information Technology Acquisition Reform Act) Enhancement Act of 2017. We then review the authoritative guidance provided by the National Institute of Standards and Technology (NIST) Cybersecurity Framework. The Framework is voluntary for the sixteen critical information sectors and mandatory for the federal government, hence the focus on NIST. Risk management threat detection and avoidance is analyzed from an integrated legal/cybersecurity perspective, including system objectives to avert legal liability and minimize enterprise and human loss. Examples address financial services, healthcare and public health, and transportation (mobile devices and autonomous vehicles) systems, and cyber-physical systems (CPS) or Internet of Things (IoT). The overall constitutional and statutory basis within which all cyber law and policy operates is identified and reviewed.</t>
  </si>
  <si>
    <t>EN.635.782</t>
  </si>
  <si>
    <t>Ethics in Intelligent Systems</t>
  </si>
  <si>
    <t>This course is to fortify and enrich the values-assessment and critical thinking skills of engineers as they grapple with the numerous ethical challenges in their professional and personal lives. To that end, the course will define and delineate some global, macro-level concepts and approaches to ethics; move on to review some ethical issues unique to engineers as they apply intelligent technologies such as artificial intelligence and machine learning to developing complex systems; and finally present some finite cases studies and concrete situations by which to apply these ethical principles. This class will stimulate students to help identify a critical thinking zeitgeist and framework by which to filter, absorb and resolve complex ethical problems and questions in both their professions and at the personal level. This class will be completely value-neutral and hence devoid of any one overarching governing ethical school of thought; thus, we are ecumenical in our approaches. Having said that, the IEEE ethically aligned design standards are noteworthy and very salutary to any exploration. This course will make use of a variety of current, recent historical and classical materials to illustrate major themes.</t>
  </si>
  <si>
    <t>EN.635.792</t>
  </si>
  <si>
    <t>Entrepreneurship, Innovation, and Corporate Success</t>
  </si>
  <si>
    <t>In many companies and government/military organizations, engineers are expected to be both innovators and creative managers. Organizations that desire to grow and to create value for their stakeholders depend on using all available capital resources: financial, human, intellectual and physical. They then seek to defend and control the value created. This course explores the engineer’s roles in innovation, invention, and value creation as a driving force in entrepreneurial technology ventures, established companies and governmental/military organizations, and the ways in which these organizations must plan to take full advantage of innovation as the only true competitive weapon in the battle for long-term success. Particular attention will be paid to collaboration and communication as key skills of the engineer/innovator/manager.</t>
  </si>
  <si>
    <t>EN.635.795</t>
  </si>
  <si>
    <t>Information Systems Engineering Capstone Project</t>
  </si>
  <si>
    <t>This course is designed for students who would like to conduct a major independent project involving a substantial enterprise information system design that builds upon and applies elements of the ISE curriculum. The project includes requirements analysis, IT architecture design, network design, software integration, decision support applications, and deployment planning. Interim deliverables include presentations to the course advisors. Project proposals are required and a mentor will be assigned to the student. The objective is to deliver a novel and innovative approach to solve deficiencies in building, operating and securing Information systems that utilize emerging technologies and techniques. Prerequisite(s): Completion of eight courses in the ISE curriculum, including all ISE foundation courses. Course Note(s): Students may not receive graduate credit for both EN.635.795 and EN.635.802 Independent Study in Information Systems Engineering II.</t>
  </si>
  <si>
    <t>TR.635.602</t>
  </si>
  <si>
    <t>Information System Engineering</t>
  </si>
  <si>
    <t>materials_science_and_engineering</t>
  </si>
  <si>
    <t>EN.515.601</t>
  </si>
  <si>
    <t>Structure and Properties of Materials</t>
  </si>
  <si>
    <t>Topics include types of materials, bonding in solids, basic crystallography, crystal structures, tensor properties of materials, diffraction methods, crystal defects, and amorphous materials.</t>
  </si>
  <si>
    <t>EN.515.602</t>
  </si>
  <si>
    <t>Thermodynamics and Kinetics of Materials</t>
  </si>
  <si>
    <t>Topics include laws of thermodynamics, equilibrium of single and multiphase systems, chemical thermodynamics, statistical thermodynamics of solid solutions, equilibrium phase diagrams, chemical kinetics, diffusion in solids, nucleation and growth processes, coarsening, and glass transition.</t>
  </si>
  <si>
    <t>EN.515.603</t>
  </si>
  <si>
    <t>Materials Characterization</t>
  </si>
  <si>
    <t>This course will describe a variety of techniques used to characterize the structure and composition of engineering materials, including metals, ceramics, polymers, composites, and semiconductors. The emphasis will be on microstructural characterization techniques, including optical and electron microscopy, x-ray diffraction, and acoustic microscopy. Surface analytical techniques, including Auger electron spectroscopy, secondary ion mass spectroscopy, x-ray photoelectron spectroscopy, and Rutherford backscattering spectroscopy. Real-world examples of materials characterization will be presented throughout the course, including characterization of thin films, surfaces, interfaces, and single crystals.</t>
  </si>
  <si>
    <t>EN.515.605</t>
  </si>
  <si>
    <t>Electrical, Optical and Magnetic Properties</t>
  </si>
  <si>
    <t>An overview of electrical, optical and magnetic properties arising from the fundamental electronic and atomic structure of materials. Continuum materials properties are developed through examination of microscopic processes. Emphasis will be placed on both fundamental principles and applications in contemporary materials technologies.Course Note(s): Please note that this 515 course is also listed as a 510 course in the full-time program. It is the same course. Part-time students should register for the 515 course.</t>
  </si>
  <si>
    <t>EN.515.607</t>
  </si>
  <si>
    <t>Introductory Biomaterials</t>
  </si>
  <si>
    <t>This course offers an overview of the structure-property relationship for metal, ceramic, and polymeric materials commonly used in biomedical applications. Differences in material properties between these synthetic materials and native biologic materials and the biological consequences of these differences will also be identified.</t>
  </si>
  <si>
    <t>EN.515.615</t>
  </si>
  <si>
    <t>Physical Properties of Materials</t>
  </si>
  <si>
    <t>A detailed survey of the relationship between materials properties and underlying microstructure. Structure/property/ processing relationships will be examined across a wide spectrum of materials including metals, ceramics, polymers and biomaterials, and properties including electrical, magnetic, optical, thermal, mechanical, chemical and biocompatibility. Course Note(s): Please note that this 515 course is also listed as a 510 course in the full-time program. It is the same course. Part-time students should register for the 515 course.</t>
  </si>
  <si>
    <t>EN.515.616</t>
  </si>
  <si>
    <t>Introduction To Nanotechnology</t>
  </si>
  <si>
    <t>Nanoscale science and nanotechnology are broad, interdisciplinary areas, encompassing not just materials science but everything from biochemistry to electrical engineering and more. This will be a survey course introducing some of the fundamental principles behind nanotechnology and nanomaterials, as well as applications of nanotechnology. The role of solid-state physics and chemistry in nanotech will be emphasized. Nanoscale tools such as surface probe and atomic force microscopy, nanolithography, and special topics such as molecular electronics will also be covered.</t>
  </si>
  <si>
    <t>EN.515.617</t>
  </si>
  <si>
    <t>Nanomaterials</t>
  </si>
  <si>
    <t>Nanomaterials is a survey course that covers concepts and the associated relevant physics and materials science of what makes nanoscale materials so unique. We’ll learn about nanoscale characterization (electron and probe microscopy), fabrication at the nanoscale (self-assembly and top-down fabrication), and many current applications of nanomaterials across broad areas from medicine to defense. This course will take an in-depth look at nanomaterials discussed in Introduction to Nanotechnology; however, it stands alone with no prerequisite.</t>
  </si>
  <si>
    <t>EN.515.622</t>
  </si>
  <si>
    <t>Micro and Nano Structured Materials &amp; Devices</t>
  </si>
  <si>
    <t>Almost every material’s property changes with scale. We will examine ways to make micro- and nano-structured materials and discuss their mechanical, electrical, and chemical properties. Topics include the physics and chemistry of physical vapor deposition, thin film patterning, and microstructural characterization. Particular attention will be paid to current technologies including computer chips and memory, thin film sensors, diffusion barriers, protective coatings, and microelectromechanical (MEMS) devices Course Note(s): Part-time students should register for the 515 course.</t>
  </si>
  <si>
    <t>EN.515.623</t>
  </si>
  <si>
    <t>Biocompatibility Considerations of Biomaterials</t>
  </si>
  <si>
    <t>This course offers an overview of the structure-property relationship for metal, ceramic, and polymeric materials commonly used in biomedical applications. Differences in material properties between these synthetic materials and native biologic materials and the biological consequences of these differences will also be identified. Additionally, the foreign body response of a biological system to a synthetic material will be discussed along with common strategies to control the host response. Interactive lectures will re-enforce critical concepts and homework assignments will be formatted as case studies to provide real world examples.</t>
  </si>
  <si>
    <t>EN.515.624</t>
  </si>
  <si>
    <t>Applications of Biomaterials</t>
  </si>
  <si>
    <t>This course focuses on the utilization of biomaterials for a wide range of applications (e.g., from biomedical to environmental and beyond). Moreover, this course introduces the use of a systematic approach to elucidate synthesis – structure – properties relationships of biomaterial solutions. Additionally, this course provides a multidisciplinary perspective exploiting material science, chemistry and biology principles for the synthesis, fabrication, and processing of biomaterials. Lastly, this course highlights the utilization of biomimicry as an optimal approach for the development of new material science.</t>
  </si>
  <si>
    <t>EN.515.627</t>
  </si>
  <si>
    <t>Chemistry of Nanomaterials</t>
  </si>
  <si>
    <t>This course introduces the fundamental principles necessary to understand the behavior of materials at length scales larger than atoms or molecules with applications in chemistry and materials science. This course will explore topics such as nanoparticle synthesis and self assembly, ordered porous materials, catalysis, nanostructured thin films, and solar energy conversion. Size dependent properties of nanomaterials will be discussed.</t>
  </si>
  <si>
    <t>EN.515.628</t>
  </si>
  <si>
    <t>Introduction to Solid State Chemistry</t>
  </si>
  <si>
    <t>This course focuses on understanding materials properties and their impact on engineering systems. Students in this course will explore the interrelationships among the atomic structure, bonding, and defects, and their influence on the electrical, magnetic, and optical properties of materials. This course will cover topics related to: atomic arrangement; synthesis and processing of materials; characterization using x-ray, thermal and electrochemical methods; specialized topics involving real-world examples drawn from industry including semiconductor processing, energy conversion and storage, and emerging materials-specific technologies.</t>
  </si>
  <si>
    <t>EN.515.634</t>
  </si>
  <si>
    <t>Fundamentals of Metamaterials</t>
  </si>
  <si>
    <t>This course introduces the student to the field of metamaterials. The course will begin with a review of basic electromagnetic wave propagation and interaction with matter. The remainder of the course will discuss how metamaterials can be utilized to manipulate electromagnetic fields. Topics will include negative refractive index, perfect lensing, metasurfaces, artificial magnetic conductors, and absorbers.</t>
  </si>
  <si>
    <t>EN.515.635</t>
  </si>
  <si>
    <t>Mechanical Properties of Materials</t>
  </si>
  <si>
    <t>This course will consist of a detailed study of the mechanical properties of materials. Topics covered will include stress-strain behavior, elastic and plastic deformation mechanisms, failure mechanisms in quasi-static and dynamic loading conditions, and microstructure-properties relationships. These topics will be discussed as applied to metallic, ceramic, polymeric, and composite materials at bulk and nano scales. The course will also introduce destructive and non-destructive mechanical testing methods. Course Note(s): Please note that this 515 course is also listed as a 510 course in the full-time program. It is the same course. Part-time students should register for the 515 course.</t>
  </si>
  <si>
    <t>EN.515.636</t>
  </si>
  <si>
    <t>Chemical Synthesis and Processing of Advanced Materials</t>
  </si>
  <si>
    <t>This is a treatise course on chemical processing of materials. The primary objective of this course is to provide an introduction to various chemical synthesis and formulation techniques for the study of advanced materials including metals, alloys, semiconductors, ceramics, carbons, polymers, coatings, thin films, nanoparticles, and nanostructured materials. The course will discuss both established chemical processing methods and recent advances in materials synthesis and fabrication. Other topics to be covered include thermodynamics and kinetics in chemistry, structure-property relations, and materials characterization techniques.</t>
  </si>
  <si>
    <t>EN.515.640</t>
  </si>
  <si>
    <t>Stealth Science and Engineering</t>
  </si>
  <si>
    <t>The goal of stealth engineering is the creation of objects that are not easily detected using remote sensing techniques. To achieve this end, engineered systems of materials are arrayed to alter the signature of objects by reducing energy returned to remote observers. This course will provide an introduction to the general principles behind signature reduction by examining the mathematics and science behind basic electromagnetic and acoustic transport processes. Specific topics will include energy absorbing materials, anti-reflection coatings, wave guiding and scattering, metamaterials and adaptive screens.</t>
  </si>
  <si>
    <t>EN.515.646</t>
  </si>
  <si>
    <t>Artificial Intelligence Methods for Materials Science</t>
  </si>
  <si>
    <t>This course will introduce the principles of machine learning and data science, with a focus on applications in materials science. The fundamentals of machine learning will be emphasized along with state-of-the-art techniques. Topics include data visualization, train/test splits, cross-validation, boosting models and convolutional neural networks. Real-world materials science datasets will be used throughout, and different data formats will be considered (e.g., descriptors vs. images). Students will demonstrate their knowledge in a final project that uses data derived from actual applications.</t>
  </si>
  <si>
    <t>EN.515.651</t>
  </si>
  <si>
    <t>Manufacturing Materials and Processes</t>
  </si>
  <si>
    <t>Manufacturing Materials and Processes is a comprehensive survey course that presents materials behaviors as constraints that direct manufacturing processes. Mechanical, physical, and phase change properties of metallics, polymers, and ceramics constrain the methods of forming these materials into engineering commodities. Phase diagrams, work hardening of metallics, thermal treatments of solids, powder metallurgy, and composite material designs are explored. The major methods of shaping and treating engineering materials to optimize their uses are presented. Metal casting, glass working, polymer processing, composite materials assembly, powder metallurgy forming, bulk deformation shaping, sheet metal forming, machining operations, and additive manufacturing are examined. The origins, avoidance, and consequences of manufacturing discontinuities and defects are examined. Techniques for nondestructive evaluation of latent defects are detailed. Competitive global manufacture and economic impacts of local manufacturing are highlighted.</t>
  </si>
  <si>
    <t>EN.515.652</t>
  </si>
  <si>
    <t>Nondestructive Testing for In Situ Determination of Material Properties</t>
  </si>
  <si>
    <t>Nondestructive testing (NDT) can be used to determine material properties for applications ranging from assessing the integrity of vintage infrastructure to establishing compliance of raw materials with specifications. However, proper interpretation of NDT results requires an understanding of tool uncertainty and sources of measurement error, along with proper validation of the tool performance. This course will provide a practical overview of current NDT methods for measuring composition, strength, microstructure, and toughness. Topics covered will include: operating principles, strengths, and weaknesses of the different methods; practical approaches to validation of tool performance versus destructive testing; and statistics-based methods to account for measurement uncertainties. Illustrative examples will be drawn from real-world applications including fitness for service assessment of steel infrastructure and material selection for additive repairs.</t>
  </si>
  <si>
    <t>EN.515.654</t>
  </si>
  <si>
    <t>Introduction to Micro- and Nano-fabrication</t>
  </si>
  <si>
    <t>This course covers the principles of micro(nano)-fabrication processes for creation of electronic/optical/mechanical devices. The course exposes students to clean room etiquette and safety, film deposition, lithography, etching (dry/wet), vacuum systems, oxide growth, etc. and will familiarize students with use of various techniques, systems and equipment commonly encountered in microfabrication facilities. This course also introduces students to various characterization techniques by introducing concepts such as crystallography/semiconductor physics and electromagnetism/optics/microscopy at an introductory level. The course includes the necessary background for students so they can specify fabrication processes for particular device designs.</t>
  </si>
  <si>
    <t>EN.515.655</t>
  </si>
  <si>
    <t>Metal Additive Manufacturing</t>
  </si>
  <si>
    <t>Additive Manufacturing (AM), also known colloquially as 3D Printing, is a disruptive technology that has received significant attention in recent years in both the popular press and the manufacturing industry. While the current and potential future applications for this technology, especially for mission-critical metal parts, are impressive and imaginative, the full potential for metal AM has not been realized due to current limitations and a lack of full understanding of metal AM processes. In this class we will cover (1) the current state-of-the-art of AM; (2) the production steps necessary to manufacture AM parts; and (3) the closely linked topics of AM materials and AM processes. While non-metal AM materials such as polymers, composites, and ceramics will be included, the primary focus will be on metal materials fabricated with laser powder bed fusion processes. Specific topics covered will include conventional vs. AM materials, meltpool phenomena including solidification, kinetics and solid-state kinetics, post-process thermal treatments, the process-properties relationship, in-situ process sensing, indirect process measurement methods and process modeling. Recent implementations of metal additive manufacturing, such as those in the aerospace and health care industries, will be presented extensively throughout the class as study cases. Popular press articles and technical papers on AM will be reviewed and discussed. Students taking this class will be expected to participate actively and bring to the class real or potential applications of AM in their workplaces.</t>
  </si>
  <si>
    <t>EN.515.658</t>
  </si>
  <si>
    <t>Design for Additive Manufacturing</t>
  </si>
  <si>
    <t>This class builds on material covered in the Additive Manufacturing (AM) overview class (515.656) and previous Materials Science and Engineering courses such as Thermodynamics and Kinetics of Materials (515.602). We will learn the design process and design for AM specifically. Students will determine applications and opportunities to apply AM technology and also learn how to evaluate AM designs. Topics will include work flow decisions to determine AM application, design considerations for metal and polymer AM, design for multi-material and functional assembly applications, and AM design evaluation.</t>
  </si>
  <si>
    <t>EN.515.661</t>
  </si>
  <si>
    <t>Introduction to Polymer Science</t>
  </si>
  <si>
    <t>The goal of this course is to provide students with an introduction to the preparation, properties and manufacturing of polymers. Methods for synthesizing polymers, manufacture of polymers and the techniques used to characterize polymer properties will be presented. The course topics include natural and synthetic giant molecules; inorganic and organic polymers; biomacromolecules; and elastomers, adhesives, coatings, fibers, plastics, blends, caulks, composites, and ceramics. The basic principles that apply to one polymer class can be used to understand all of the other classes and are integrated into the framework of this course.</t>
  </si>
  <si>
    <t>EN.515.730</t>
  </si>
  <si>
    <t>Materials Science and Engineering Project</t>
  </si>
  <si>
    <t>This course is an individually tailored, supervised project that offers research experience through work on a special problem related to each student’s field of interest. Upon completion of this course, a written essay must be submitted. The faculty advisor will approve the final essay. All other coursework should be completed before this project begins (or at least completed concurrently with this project). Consent of advisor is required.</t>
  </si>
  <si>
    <t>EN.515.731</t>
  </si>
  <si>
    <t>materials_science___engineering</t>
  </si>
  <si>
    <t>EN.510.601</t>
  </si>
  <si>
    <t>Structure Of Materials</t>
  </si>
  <si>
    <t>An introduction to the structure of inorganic and polymeric materials. Topics include the atomic scale structure of metals, alloys, ceramics, and semiconductors; structure of polymers; crystal defects; elementary crystallography; tensor properties of crystals; and an introduction to the uses of diffraction techniques (including X-ray diffraction and electron microscopy) in studying the structure of materials. Recommended Course Background: undergraduate chemistry, physics, and calculus or permission of instructor.</t>
  </si>
  <si>
    <t>EN.510.602</t>
  </si>
  <si>
    <t>Thermodynamics Of Materials</t>
  </si>
  <si>
    <t>An introduction to the classical and statistical thermodynamics of materials. Topics include the zeroth law of thermodynamics; the first law (work, internal energy, heat, enthalpy, heat capacity); the second law (heat engines, Carnot cycle, Clausius inequality, entropy, absolute temperature); equilibrium of single component systems (free energy, thermodynamic potentials, virtual variations, chemical potential, phase changes); equilibrium of multicomponent systems and chemical thermodynamics; basics of statistical physics (single and multiple particle partition functions, configurational entropy, third law; statistical thermodynamics of solid solutions); and equilibrium composition-temperature phase diagrams. Recommended Course Background: undergraduate calculus, chemistry, and physics or permission of instructor.</t>
  </si>
  <si>
    <t>EN.510.603</t>
  </si>
  <si>
    <t>Phase Transformations of Materials</t>
  </si>
  <si>
    <t>A detailed study of kinetic processes in materials is used to understand processing and microstructural evolution of materials. Topics include chemical rate equations, diffusion (equilibrium and non-equilibrium), interface thermodynamics, nucleation, solidification and crystal growth, phase transformations, and coarsening.</t>
  </si>
  <si>
    <t>EN.510.604</t>
  </si>
  <si>
    <t>An introduction to the properties and mechanisms that control the mechanical performance of materials. Topics include mechanical testing, tensor description of stress and strain, isotropic and anisotropic elasticity, plastic behavior of crystals, dislocation theory, mechanisms of microscopic plasticity, creep, fracture, and deformation and fracture of polymers. Recommended Course Background: EN.510.601</t>
  </si>
  <si>
    <t>EN.510.605</t>
  </si>
  <si>
    <t>Electrical, Optical and Magnetic Properties of Materials</t>
  </si>
  <si>
    <t>An overview of electrical, optical and magnetic properties arising from the fundamental electronic and atomic structure of materials. Continuum materials properties are developed through examination of microscopic processes. Emphasis will be placed on both fundamental principles and applications in contemporary materials technologies. Recommended Course Background: EN.510.601</t>
  </si>
  <si>
    <t>EN.510.606</t>
  </si>
  <si>
    <t>EN.510.608</t>
  </si>
  <si>
    <t>Materials Science of Energy Technologies</t>
  </si>
  <si>
    <t>This course examines the science and engineering of contemporary and cutting-edge energy technologies. Materials Science and Mechanical Engineering fundamentals in this area will be complemented by case studies that include fuel cells, solar cells, lighting, thermoelectrics, wind turbines, engines, nuclearpower, biofuels, and catalysis. Students will consider various alternative energy systems, and also to research and engineering of traditional energy technologies aimed at increased efficiency, conservation, and sustainability.</t>
  </si>
  <si>
    <t>EN.510.610</t>
  </si>
  <si>
    <t>Fundamentals of Biomaterials</t>
  </si>
  <si>
    <t>This course provides an introduction to biomaterials in medicine. Topics include: hard and soft biomaterials, materials science concepts specific to biomaterials, surface thermodynamics, surfactants and surface functionalization, proteins and protein-surface interactions, tissue engineering and regenerative medicine, wound healing and the inflammatory response, and drug delivery systems.Pre-requisites: 510.602 (Thermodynamics of Materials) or permission of instructor. No Audits.</t>
  </si>
  <si>
    <t>EN.510.612</t>
  </si>
  <si>
    <t>EN.510.615</t>
  </si>
  <si>
    <t>A detailed survey of the relationship between materials properties and underlying microstructure. Structure/property/processing relationships will be examined across a wide spectrum of materials including metals, ceramics, polymers and biomaterials, and properties including electrical, magnetic, optical, thermal, mechanical, chemical and biocompatibility.</t>
  </si>
  <si>
    <t>EN.510.617</t>
  </si>
  <si>
    <t>Advanced Topics in Biomaterials</t>
  </si>
  <si>
    <t>This course reviews recent advances in biomaterials, focusing on the design principles and cutting-edge applications of biomaterials. Topics include molecular and formulation designs, manufacturing and processing techniques, biointerface engineering, drug/gene delivery platforms, and regenerative engineering approaches. Essential techniques and biomaterials engineering platforms will also be discussed.</t>
  </si>
  <si>
    <t>EN.510.619</t>
  </si>
  <si>
    <t>Physical Metallurgy</t>
  </si>
  <si>
    <t>Fundamentals of metals and modern alloy systems, emphasizing the development and stability of microstructure and the physical basis linking microstructure to mechanical properties. Topics include thermodynamics of alloy systems, solidification, phase transformations,  mechanisms of deformation and fracture, and alloy design. Examples will be drawn from a variety of systems including ferrous alloys (steels), lightweight alloys (aluminum and magnesium), alloys for high temperature applications (superalloys), and recent developments including metallic glasses and high-entropy alloys.</t>
  </si>
  <si>
    <t>EN.510.621</t>
  </si>
  <si>
    <t>Misfolding diseases and the thermodynamics of protein folding</t>
  </si>
  <si>
    <t>This class is an overview of protein structure, folding, and interactions, with emphasis of protein misfolding and human disease. Topics include the hydrophobic effect, self assembly, thermodynamics of protein folding, kinetics of protein folding, and protein association. Special emphasis is placed on experimental techniques, including peptide synthesis, peptide separation and purification techniques, UV-vis, CD, fluorescence, calorimetry, mass-spec, etc. Co-listed with EN.510.426</t>
  </si>
  <si>
    <t>EN.510.622</t>
  </si>
  <si>
    <t>Almost every material's property changes with scale. We will examine ways to make micro- and nano-structured materials and discuss therir mechanical , electrical, and chemical properties. Topics include the physics and chemistry of physical vapor deposition, thin film patterning, and microstructural characterization. Particular attention will be paid to current technologies including computer chips and memory, thin film sensors, diffusion barriers, protective coatings, and microelectromechnanical (MEMS) devices. (Also listed as 510.622/422)</t>
  </si>
  <si>
    <t>EN.510.625</t>
  </si>
  <si>
    <t>Advanced Batteries</t>
  </si>
  <si>
    <t>This course is designed to provide a comprehensive understanding of the principles underlying the development and operation of solid-state batteries, including the current state of the energy storage landscape. The course will delve into thermodynamics, kinetics, materials selection involved in solid-state battery design, interfacial electrochemistry, experimental methods, and practical considerations.</t>
  </si>
  <si>
    <t>EN.510.627</t>
  </si>
  <si>
    <t>Principles of biomolecular self-assembly and biological membranes</t>
  </si>
  <si>
    <t>This course will focus on the structural an organizational principles for cellular membranes, and on structure-function relationships. Topics include the assembly of lipids in bilayers, the folding, the assembly, and the function of various classes of membrane proteins, and the methods used to study membrane processes.</t>
  </si>
  <si>
    <t>EN.510.635</t>
  </si>
  <si>
    <t>Mechanical Properties of Human Tissue: From Bones to Cells</t>
  </si>
  <si>
    <t>This course will focus on the mechanical properties of biomaterials and the dependence of these properties on the microstructure of the materials. Organic and inorganic systems will be considered through a combination of lectures and readings and the material systems will range from cells to bones to artificial implants. Same course as 510.435</t>
  </si>
  <si>
    <t>EN.510.636</t>
  </si>
  <si>
    <t>Biomaterials for Cell Engineering</t>
  </si>
  <si>
    <t>This course focuses on the development of biomaterials both as new tools to study fundamental biology and as means to direct cell behavior and function for biomedical applications. Topics include the material properties of cells and tissue, biomaterials for recapitulating cell microenvironment, biomaterials for studying and directing cell mechanotransduction, biomaterials for gene editing, biomaterials for immunotherapy, and biomaterials for neuroengineering. This course will have in-depth discussions on recent findings and publications in these areas. This course is also listed as EN.510.436 .</t>
  </si>
  <si>
    <t>EN.510.640</t>
  </si>
  <si>
    <t>Stealth Engineering</t>
  </si>
  <si>
    <t>The goal of stealth engineering is the creation of objects that are not easily detected using remote sensing techniques. To achieve this end, engineered systems of materials are arrayed to alter the signature of objects by reducing energy returned to remote observers. This course will provide an introduction to the general principles behind signature reduction by examining the mathematics and science behind basic electromagnetic and acoustic transport processes. Specific topics will include energy absorbing materials, anti-reflection coatings, wave guiding and scattering, metamaterials and adaptive screens. Co-listed with EN.510.420 .</t>
  </si>
  <si>
    <t>EN.510.643</t>
  </si>
  <si>
    <t>Chemistry and Physics of Polymers</t>
  </si>
  <si>
    <t>The course will describe and evaluate the synthetic routes, including condensation and addition polymerization, to macromolecules with varied constituents and properties. Factors that affect the efficiencies of the syntheses will be discussed. Properties of polymers that lead to technological applications will be covered, and the physical basis for these properties will be derived. Connections to mechanical, electronic, photonic, and biological applications will be made. Also listed as EN.510.443 . Recommended Course Background: Organic Chemistry I and one semester of thermodynamics.</t>
  </si>
  <si>
    <t>EN.510.652</t>
  </si>
  <si>
    <t>This survey course provides a broad perspective of the challenges materials face in evolving technologies related to energy production, aerospace, medicine, and even data storage. The course will introduce topics by technology and review the current materials in use, the challenges they face, and the future outlook in terms of opportunities, improvements, and research. Information will be provided from literature, media, and guest speakers from key industries and technology sectors.</t>
  </si>
  <si>
    <t>EN.510.653</t>
  </si>
  <si>
    <t>This course will describe a variety of techniques used to characterize the structure and composition of engineering materials, including metals, ceramics, polymers, composites and semiconductors. The emphasis will be on microstructural characterization techniques, including optical and electron microscopy, X-ray diffraction, and thermal analysis and surface analytical techniques, including Auger electron spectroscopy, secondary ion mass spectroscopy, X-ray photoelectron spectroscopy, and atomic force microscopy. Working with the JHU museums, we will use the techniques learned in class to characterize historic artifacts.</t>
  </si>
  <si>
    <t>EN.510.654</t>
  </si>
  <si>
    <t>Nanomaterials for Genetic Medicine</t>
  </si>
  <si>
    <t>This course describes how nanomaterials have facilitated and will advance genetic medicine in clinical applications for disease treatment and prevention. Topics of this course include synthesis and structure-activity relationship of hard and soft nanoparticles, biomimetic nanomaterials, nanomaterials for nucleic acid delivery, nanomaterials for genome editor delivery, biological fate of nanomaterials, and nano-bio interface characterization. This course will have in-depth discussions on recent progress and publications in these areas.</t>
  </si>
  <si>
    <t>EN.510.656</t>
  </si>
  <si>
    <t>Computational modeling of soft/bio materials</t>
  </si>
  <si>
    <t>This course provides an overview of computational modeling methods with practical applications for designing soft materials and biomaterials. Computational methods include Monte Carlo, molecular dynamics, Bayesian analysis, machine learning, and the basics of finite-element modeling. The course is part project-based and teaches both the fundamentals of computational methods and how to apply them to current cutting-edge research in soft and biomaterials.</t>
  </si>
  <si>
    <t>EN.510.657</t>
  </si>
  <si>
    <t>Materials Science of Thin Films</t>
  </si>
  <si>
    <t>The processing, structure, and properties of thin films are discussed emphasizing current areas of scientific and technological interest. Topics include elements of vacuum science and technology; chemical and physical vapor deposition processes; film growth and microstructure; chemical and microstructural characterization methods; epitaxy; mechanical properties such as internal stresses, adhesion, and strength; and technological applications such as superlattices, diffusion barriers, and protective coatings. Co-listed with EN.510.457</t>
  </si>
  <si>
    <t>EN.510.658</t>
  </si>
  <si>
    <t>Electroanalytical Chemistry &amp; Energy Conversion</t>
  </si>
  <si>
    <t>Electrochemical methods are used by researchers in many fields to study topics such as (photo)electrocatalysis, batteries, and chemical sensors. This course will cover the basic theory and applications of electrochemistry to provide students with foundational knowledge of electrified solid-solution interfaces. Fundamental topics including interfacial charge transfer, mass transport, electric double layer structure, electrode kinetics, and analytical methods will be covered. State-of-the-art topics in electrochemistry research will also be discussed.</t>
  </si>
  <si>
    <t>EN.510.662</t>
  </si>
  <si>
    <t>Transmission Electron Microscopy: Methods</t>
  </si>
  <si>
    <t>Transmission Electron Microscopy Methods is a hands-on, lab-based course design to give graduate students practical working knowledge of TEM methods. The course includes weekly 3 hr labs where students, in groups of four, will be instructed in the basic techniques needed to perform their characterization requirements of their research. In each lab students will learn a technique with which they will apply to a material and produce a report. Reports will be a transcription of steps taken in lab, documentation of data including images, spectra, measurements, and interpretation of data. At the end of the course, each group will produce a characterization report of a material of their choice.</t>
  </si>
  <si>
    <t>EN.510.663</t>
  </si>
  <si>
    <t>AI for Materials</t>
  </si>
  <si>
    <t>This course introduces core concepts and modern techniques in artificial intelligence and data science, with a focus on applications in materials science. Topics include classification, regression, clustering, and generative AI, using models such as random forests, neural networks (NN), convolutional neural networks (CNN), graph neural networks (GNN), and transformer-based architectures (e.g., GPT). Students will work with real-world materials datasets derived from multiscale modeling and experimental measurements, including tabular, image-based, and structural formats. Hands-on coding exercises and a final project will reinforce practical applications.</t>
  </si>
  <si>
    <t>EN.510.666</t>
  </si>
  <si>
    <t>Materials Modeling</t>
  </si>
  <si>
    <t>Moore’s law has given rise to the silicon age, where computational modeling can provide high-fidelity predictions to address challenges spanning climate change and renewable energy to economic stability and global pandemics. The skills to solve scientific problems computationally have become invaluable in virtually all industries. This introductory course is project-based and puts into practice the fundamentals of software development, numerical analysis, and scientific programming. Topics covered include methods for solving differential equations, Monte Carlo and atomistic simulations, machine learning, and data visualization. The course is taught in Python, and support for non-UNIX architectures is limited.</t>
  </si>
  <si>
    <t>robotics</t>
  </si>
  <si>
    <t>EN.620.745</t>
  </si>
  <si>
    <t>Seminar in Computational Sensing and Robotics</t>
  </si>
  <si>
    <t>Seminar series in robotics featuring leading robotics researchers worldwide. Topics include: Medical robotics, including computer-integrated surgical systems and image-guided intervention; sensor based robotics, including computer vision and biomedical image analysis; algorithmic robotics, robot control and machine learning; autonomous robotics for monitoring, exploration and manipulation with applications in home, in the wild, and in extreme environments (land, air, sea, space); biorobotics and neuromechanics, including devices, algorithms and approaches to robotics inspired by principles in biomechanics and neuroscience; human-machine systems, including haptic and visual feedback, human perception, cognition and decision making, and human-machine collaborative systems; professional development for engineers. Pass/Fail only; no letter grades. Audit registration is not permitted.</t>
  </si>
  <si>
    <t>space_systems_engineering</t>
  </si>
  <si>
    <t>EN.675.600</t>
  </si>
  <si>
    <t>Systems Engineering for Space</t>
  </si>
  <si>
    <t>This course introduces students to the fundamental principles of systems engineering and their particular application to the development of space systems. It describes how the systems engineering viewpoint differs from that of the engineering specialist, as well as the essential role that systems engineering plays across the mission design life cycle. Topics include requirements analysis, trade studies, concept definition, interface definition, system synthesis, and engineering design. Techniques and analysis methods for making supportable quantitative decisions will also be explored, along with risk assessment and mitigation planning. The importance of thorough systems engineering from the initiation of the project through launch and flight operations will be emphasized. This is intended as the first course in the Space Systems Engineering program curriculum so that the student establishes a firm grasp of the fundamentals of systems engineering as applied to space programs. Examples will be presented from real space missions and programs, with assignments, special topics, and a team project focused on typical space systems engineering problems and applied methods of technical problem resolution.</t>
  </si>
  <si>
    <t>EN.675.601</t>
  </si>
  <si>
    <t>Fundamentals of Engineering Space Systems I</t>
  </si>
  <si>
    <t>The effective development of space systems is predicated on a firm understanding of the foundational technical and systems engineering components necessary to both comprehend the design task and formulate an appropriate solution. For engineers and technical managers seeking to develop this working knowledge and associated skills, this course will provide an overview of the key elements comprising space systems and an analytic methodology for their investigation. With a strong systems engineering context, topics will include fundamentals on astrodynamics, power systems, communications, command and data handling, thermal management, attitude control, mechanical configuration, and structures, as well as techniques and analysis methods for remote sensing applications. In addition, a number of supplemental topics will be included to provide further breadth and exposure. This is the first course of a two-semester sequence that features a combination of instruction from practitioner subject matter experts, and a team design project.</t>
  </si>
  <si>
    <t>EN.675.602</t>
  </si>
  <si>
    <t>Fundamentals of Engineering Space Systems II</t>
  </si>
  <si>
    <t>This course will build on the foundational elements introduced in 675.601 Fundamentals of Engineering Space Systems I, expanding on the breadth and depth of prior subject matter treatment, as well as their integrated application. Classes will again feature a combination of instruction from subject matter experts and a team design project.</t>
  </si>
  <si>
    <t>EN.675.613</t>
  </si>
  <si>
    <t>Bold Science Enabled by Engineering</t>
  </si>
  <si>
    <t>This course will introduce students to the connection between innovative space engineering and the most significant scientific breakthroughs that have resulted from it. This course will first explore the early generation of engineering tools that were turned to the night sky due to curiosity, and the discoveries that were made. These tools fundamentally changed our understanding of what our place in the Universe was, and the exploration led to a new framework for how engineers and scientists partner together to advance space exploration. A long line of observatories, both on the ground and in space, followed and have brought the wonders of the cosmos to humanity. The latest marvel of engineering in this line of engineering tools, a tennis-court sized “eye” in space called the Webb Telescope, was just launched and has revealed the Universe to us in unimaginable ways. It took 20,000 engineers and scientists working over 20 years to enable this mission. The course will explore how these engineering marvels were motivated and built, how they are used, the challenges that were encountered along the way, and how we plan to move forward to chase down even bolder pursuits (e.g., a new generation of robotic engineering experiments to detect life on alien moons in the Solar System).This course is also being given during an era in which space exploration is one of the most exciting, fast-paced, and rapidly growing industries. The increased competition from hundreds of private companies that are entering space is resulting in incredible reductions in the cost to access to space, and has led to an explosion in the number of launches and space-based assets. Lessons in the course will challenge students to explore the modern capabilities of the space industry and how these innovations will power future scientific pursuits.</t>
  </si>
  <si>
    <t>EN.675.617</t>
  </si>
  <si>
    <t>Space Policy and Engineering</t>
  </si>
  <si>
    <t>This course straddles the boundary between engineering and public policy related to space. It presents space policy and the effects that policy has on engineering decisions. It presents the underlying space systems engineering principles that necessitate space policy. Space is a highly technical and nonintuitive domain. Professionals working in any space-related field should have a basic understanding of the relationship between engineering and international public policy. EP students have the opportunity to enroll in this one-of-a-kind course which was developed in partnership with the JH School of Advanced International Studies (SAIS). This course focuses on the intersection of space systems engineering and policy, and will be offered for credit as an elective in both the EP SSE Program and SAIS. During fall semesters, the course is offered with in-person attendance required at the Bloomberg Center in Washington D.C. An asynchronous version is currently under development for offering during spring semesters.</t>
  </si>
  <si>
    <t>EN.675.621</t>
  </si>
  <si>
    <t>Space Environment and Effects</t>
  </si>
  <si>
    <t>This course will introduce and explore analysis, design, and verification methods for the space environment in general and radiation and plasma environments in particular. Intended as a practical complement to 675.751, Space Weather and Space Systems, this course will focus on mission requirements definition, design features, analyses and ground testing, state-of-the-art engineering models / tools, and national / international standards associated with the design and operation of modern high reliability space systems. Design and operational impacts will consider Total Ionizing Dose (TID), Total Non-Ionizing Dose (TNID), Single Event Effects (SEE), spacecraft charging, material outgassing, atomic oxygen, and Micrometeoroids / Orbital Debris (MMOD). All phases of a program lifecycle will be discussed – from environment definition through operational anomalies and anomaly attribution. Lectures, journal reading, and homework assignments will prepare engineers to quantify and assess risk as well as mitigate space environmental effects. A final project will consider a more detailed analysis of a system of interest to the student.</t>
  </si>
  <si>
    <t>EN.675.622</t>
  </si>
  <si>
    <t>Spacecraft Hardware Design Considerations</t>
  </si>
  <si>
    <t>This course will focus on the engineering of hardware systems that will reliably perform in the harsh environment of space. This course will cover design considerations, terrestrial based manufacturing, storage, launch, and on-orbit performance of successful hardware systems, as well as failure modes and mitigations for the design engineer, systems engineer or aerospace program manager. Design and manufacturing concerns covering electrical, electronic, and electromechanical components including part selection, materials considerations, radiation ratings and test, packaging, and manufacturing will be covered. The course will also cover the unique environments from terrestrial based to exo-atmospheric driving design and handling considerations relative to spacecraft hardware.</t>
  </si>
  <si>
    <t>EN.675.641</t>
  </si>
  <si>
    <t>Space Cybersecurity</t>
  </si>
  <si>
    <t>Our space systems are under attack. Cyberattacks are among the most prevalent threats to space assets. They are often stealthy, inexpensive and highly effective at achieving an adversary’s goal – be it data corruption, IP theft or physical destruction of the satellite. Given space systems are complex, composing ground stations, communications and satellites the surface area of attack is vast and considering the constrained computing capacity of space systems, many traditional security mechanisms are not applicable. This course provides an introduction to how an adversary would approach attacking a satellite, opportunities for systems engineers to develop cyber-resilient assets and relevant policies and best practices to support space system cybersecurity.</t>
  </si>
  <si>
    <t>EN.675.650</t>
  </si>
  <si>
    <t>Mathematics for Space Systems</t>
  </si>
  <si>
    <t>This course is designed to teach Mathematical Methods commonly employed for engineering Space Systems. The course will provide a solid technical foundation in mathematics so the students can apply this knowledge to this broad field. Topics will include select, applicable methods from vector calculus, linear algebra, differential equations, transform methods, complex variables, probability, statistics, and optimization. Various applications to real problems related to space systems and technical sub-disciplines will be used during the semester. No prior knowledge of advanced mathematics is assumed and important theorems and results from pure and applied mathematics are taught as needed during the course. Examples and relevant applications will be utilized throughout the course to further clarify the mathematical theory. Prerequisite(s): The course requires working knowledge of college calculus and algebra, or approval of the instructor.</t>
  </si>
  <si>
    <t>EN.675.691</t>
  </si>
  <si>
    <t>Electro-Optical Space Systems</t>
  </si>
  <si>
    <t>The goal of this course is to engage the student with multiple design studies of subsystems of space-based electro-optic systems. The technical and scientific elements necessary to be successful with these studies will be presented during the lectures. The concepts and technologies behind elements such as photon detectors, imaging elements over many spectral bands, optical elements and systems typically used in space sensors, and active optical sources will be described. These concepts and technologies will be the fundamental elements used to describe the various sensor types and modalities used in space electro-optical systems. Prerequisite(s): An undergraduate or graduate degree in a quantitative discipline (e.g., engineering, computer science, mathematics, physics, or equivalent), or with approval of the instructor.</t>
  </si>
  <si>
    <t>EN.675.701</t>
  </si>
  <si>
    <t>Applications of Space Systems Engineering</t>
  </si>
  <si>
    <t>The ability to effectively apply knowledge and skills to new problems and situations is critical in the development of space systems. Building upon the foundational systems engineering and technical skills developed through prior coursework, this course will introduce further topics related to areas of active exploration and investigation, as well as practical details pertaining to mission formulation and assessment. Classes will be structured to include both information exchange led by subject matter experts from across the community and active group discourse. In addition, a number of topical case studies will be worked by students in both individual and group formats. Students will be asked to explore, in depth, various advanced areas of space systems engineering challenges and share information with each other in online discussions.</t>
  </si>
  <si>
    <t>EN.675.702</t>
  </si>
  <si>
    <t>Spacecraft Materials</t>
  </si>
  <si>
    <t>Through online lectures and mini cohorts, this course illustrates the fundamental applications of materials to spacecraft design for a systems engineering perspective. Topics include the environments of dynamics, vacuum, thermal, reactive chemicals, radiation, and electrostatics relating to material selection; applications in the material classes of metals, ceramics, polymers, and composites to spacecraft design; design considerations from preliminary design through product verification, launch, and mission operations; and considerations for environment impacts, commons issues encountered, and lessons learned. The course is not intended to cover materials analysis that is taught specific to individual engineering domains, rather it instructs the application of the materials to the space environment with specific industry examples.</t>
  </si>
  <si>
    <t>EN.675.710</t>
  </si>
  <si>
    <t>Small Satellite Development and Experimentation</t>
  </si>
  <si>
    <t>The capstone course in the Space Systems Engineering Program will introduce practical methods and tools used for evaluating the design and implementation of space systems—with a particular focus on small satellites and CubeSats. This will be principally achieved through a significant experimentation laboratory component intended to reinforce analytical experience with empirical exposure and insight. The laboratory will build on prior foundational understanding of spacecraft subsystem design and performance, through a structured series of experiments and investigations to be conducted both individually and in small student teams. It will utilize tabletop satellite simulator kits that are especially designed for hands-on educational purposes, while drawing heavily on the analysis methods and tools developed in the Fundamentals of Engineering Space Systems I/II sequence. All work is aimed at preparing for and executing a single long-residency-weekend exercise, nominally held during the final quarter, typically within the last three weekends of the semester in the Baltimore area. The lab component will have a mandatory set of core hours. The residency-lab will meet the Friday (4p-8p) and Saturday (9a-8p). Students are responsible for their own travel and accommodations, as required. Following residency weekend, only final laboratory deliverables and any remaining assignments are due per provided instructions.</t>
  </si>
  <si>
    <t>EN.675.711</t>
  </si>
  <si>
    <t>Ground System Engineering and Mission Operations</t>
  </si>
  <si>
    <t>This course will focus on the critical functions performed by ground systems and mission operations throughout the space systems life-cycle and their integrated application. Course topics will include planning and sequencing, uplink and control, testing, real-time operations, communications, data management, data analysis, and assessment. Students will learn about end-to-end best practices that pertain to most missions and how ground systems and mission operations concepts are tailored across a diversity of missions. Examples will be presented from real space missions and programs, with assignments, special topics, and a team project focused on typical ground system engineering problems, mission operations challenges, and applied methods of technical problem resolution.</t>
  </si>
  <si>
    <t>EN.675.712</t>
  </si>
  <si>
    <t>Space Mission Formulation</t>
  </si>
  <si>
    <t>This course covers the creative and generative side of space mission engineering. Highly successful space science and exploration missions are the result of close collaboration between scientists who define the highest-level goals and the engineers who provide the means to make the measurements necessary to achieve those goals. In addition, mission formulation teams must understand the external strategic environment that supports a mission, specifically the government sponsors, their funding capabilities, how their priorities get set, and the cycles they go through. This course will help the student develop an understanding of that external environment, the process of collaboration between the scientists and the engineers and their sponsors, and how to frame mission goals and requirements in terms that lead to mission success. The instructors will provide insight into the formulation of scientific investigations, the process of crafting a compelling and accurate narrative for a mission proposal. Topics also include: derivation of mission requirements, launch vehicle capabilities and selection; mission architecture elements; and project flow from pre-proposal through mission confirmation.</t>
  </si>
  <si>
    <t>EN.675.713</t>
  </si>
  <si>
    <t>Fault Management &amp; Autonomy</t>
  </si>
  <si>
    <t>This course introduces students to the fundamental principles of fault management engineering as it pertains to space systems. It describes how the fault management engineering viewpoint differs from that of systems engineers and engineering specialists, as well as the role that fault management plays throughout the mission design life cycle. Fault management is a systems engineering function that defines the functional requirements distributed throughout the spacecraft (hardware, software, and autonomy) and ground/mission operations that enable the detection, isolation, and recovery from events that upset nominal operations. Students will learn about the principles of fault management architecture (i.e., driving requirements, redundancy concept, safing and modes concept, ground intervention concept, and critical sequences) and how those principles inform the fault management design, the analytical techniques used for fault analysis, trade studies, and requirements allocation, and the role of the fault management engineer from the initiation of the project through design, integration and test, launch, and flight operation. Examples will be presented from real space missions and programs to emphasize the different implementations of fault management systems given the technical, cost, and schedule constraints.</t>
  </si>
  <si>
    <t>EN.675.722</t>
  </si>
  <si>
    <t>Space Mechanical Design and Analysis</t>
  </si>
  <si>
    <t>The mechanical system is a critical element of any space vehicle. This course addresses the requirements, functions, analysis, physical design, verification and characterization of the structure and associated mechanisms. The structural analysis includes assessment of the launch vehicle interfaces and coupled-loads analysis of dynamic responses, requirements for payloads and instruments, and accommodations for all vehicle subsystems. Engineering design approaches are described. Interactions and requirements driven from other subsystems on the mechanical design will be illuminated. Students will configure space vehicles based on a variety of system requirements, perform analysis of various elements of real-world structural elements and will carry out associated design tasks.</t>
  </si>
  <si>
    <t>EN.675.724</t>
  </si>
  <si>
    <t>Space Internetworking</t>
  </si>
  <si>
    <t>This course addresses the requirements, architectures, and protocols used to build and operate space-terrestrial internetworks. These internetworks federate both space-to-space and space-to-ground links into secure, resilient, end-to-end telecommunications. The course covers terrestrial networking technologies, special constraints of space-based systems, and emerging space networking protocols. Topics will include resilient data transport, naming and addressing, network security, time-variant routing, and autonomous network management. Unique requirements and applications to cislunar and deep-space networks will be addressed. Students will implement networking concepts in the C programming language.</t>
  </si>
  <si>
    <t>EN.675.731</t>
  </si>
  <si>
    <t>Spacecraft Propulsion</t>
  </si>
  <si>
    <t>The intent of this class is to teach the basics of propulsion such that you will be able to make informed decisions about which sort of system would be best for a particular application. To do this, the class starts with a basic primer on the physics of propulsion and then covers key elements of the various types of propulsion systems that are typically used on spacecraft, including chemical and electric systems, and also some types of system not typically used now, but that might be available in the future (e.g., nuclear propulsion, matter/antimatter propulsion). In the class, you are introduced to how a propulsion subsystem is used and how it interacts with the rest of the spacecraft, so it can be seen from a system perspective and not just from the subsystem view. Key pros and cons of each type of system presented are discussed, as well as key constraints and failure modes. Subsystem components and performance characteristics are introduced and then used in examples from actual spacecraft to explain why these systems were selected for flight. Then, you are shown how to specify a propulsion subsystem and trade various subsystem types against each other, how to size them, how to integrate and test them, and ultimately how to fly them.</t>
  </si>
  <si>
    <t>EN.675.732</t>
  </si>
  <si>
    <t>Advanced Topics in Aerospace Hardware</t>
  </si>
  <si>
    <t>This course focuses on spacecraft hardware topics to include current and emerging technologies including hardware in system configurations such as constellations and for sensing and communication applications. The course is grounded in a hardware and software design understanding of materials and operations in the space environment (design rules, material and component considerations, safe life versus fail safe designs, environmental considerations, among other hardware guidelines). Specific topics in hardware addressed in these studies include Instruments and Detectors (Optical, Radio Frequency, Imagers…), Low Earth Orbit Commercial Constellations and Swarms, Geostationary (GEO) and GEO Transfer Comm and Remote Sensing, Flagship Missions, Cislunar, In Situ Resource Utilization, Landers and Samplers, Subsystem specifics, Hardware, Firmware and Software Interfaces and Launch vehicles.</t>
  </si>
  <si>
    <t>EN.675.733</t>
  </si>
  <si>
    <t>Spacecraft Rendezvous and Proximity Operations</t>
  </si>
  <si>
    <t>The objectives of this course are to develop the general principles governing spacecraft proximity operations, rendezvous, and docking, and analyze the challenges associated with their operational implementation. Students will be introduced to topics such as near and far range rendezvous, natural motion circumnavigation (NMC), autonomous rendezvous guidance, and relative navigation using GPS and relative motion sensors. Practical mission constraints, including passive safety, collision avoidance, and sun illumination will be discussed. Applications from emerging areas including on-orbit servicing, in-space manufacturing/assembly/refueling, formation flying, active debris removal, close inspection, and logistics resupply to a cislunar human habitat will also be studied. Students are expected to be comfortable in programming with Matlab, Python or similar simulation platforms, and must have been exposed to the mathematical topics of Linear Algebra, Differential Equations, Calculus, and elementary Probability through prior coursework.</t>
  </si>
  <si>
    <t>EN.675.734</t>
  </si>
  <si>
    <t>Fundamentals of Celestial and Orbital Mechanics</t>
  </si>
  <si>
    <t>This course will focus on the study of orbital and celestial mechanics, using many of the methods that are covered in a traditional advanced mechanics course. This is foundational and necessary information for the study of advanced astrodynamics. We will look primarily at closed form and approximation methods (as opposed to numerical solutions) in a wide variety of problems in orbital and celestial mechanics. Students who take this class will be well-versed in fundamentals that can then be leveraged in more advanced future space applications such as spaceflight mechanics, navigation and control, geodesy, maneuver design, orbit determination rendezvous and proximity operations, and others. Topics will include Newtonian Mechanics, Newtonian Gravitation, Central Force Orbits (with a focus on Keplerian Orbits), Orbital &amp; Interplanetary Maneuvers, Non-inertial Reference Frames, the Lagrangian Formalism, Rigid Body Rotation, the Three Body Problem, Approximation Methods for Orbits, Spherical Harmonic Representation of the Earth’s geoid, and Lunar Motion. Discussions will include the historical figures who contributed significantly to the topics discussed.</t>
  </si>
  <si>
    <t>EN.675.740</t>
  </si>
  <si>
    <t>Assuring Success of Aerospace Programs</t>
  </si>
  <si>
    <t>Technical managers, systems engineers, lead engineers, and mission assurance professionals will benefit from this course, which focuses on the leadership of system safety and mission assurance activities throughout the life cycle of a project to achieve mission success. This advanced course provides crucial lessons learned and proven best practices that technical managers need to know to be successful. The integrated application of mission assurance and systems engineering principles and techniques is presented in the context of aerospace programs and is also applicable to other advanced technology research and development programs. Students discuss critical risk-based decision making required from system concept definition and degree auditing through design, procurement, manufacturing, integration and test, launch, and mission operations. Experiences shared by senior aerospace leaders and extensive case studies of actual mishaps explore quality management topics relevant to aircraft, missiles, launch vehicles, satellites, and space vehicles. The course addresses contemporary leadership themes, government policies, and aerospace industry trends in mission assurance requirements, organizational structure, knowledge sharing and communication, independent review, audit, and assessment. Mission assurance disciplines covered include risk management, system safety, reliability engineering, software assurance, supply chain management, parts and materials, configuration management, requirements verification and validation, non-conformance, and anomaly tracking and trending.</t>
  </si>
  <si>
    <t>EN.675.742</t>
  </si>
  <si>
    <t>Optical Communications and Laser Radar</t>
  </si>
  <si>
    <t>This course will cover the fundamentals and applications of free space optical (FSO) communications systems as well as laser radar (LIDAR). FSO is rapidly becoming the communications method of choice for satellite cross links and for very high data rate downlinks. LIDAR has an extensive heritage in space applications for remote sensing as well as for applications such as precision range determination. This course will cover the multiple common enabling technologies shared by FSO and LIDAR, describe the concepts and theories behind these technologies, discuss the integration of these technologies into systems, and analyze current deployed as well as planned systems to help understand how FSO and LIDAR are implemented and used.This course will leverage Calculus as well as basic probability concepts to implement the physical models used to describe FSO and LIDAR systems and applications.</t>
  </si>
  <si>
    <t>EN.675.743</t>
  </si>
  <si>
    <t>Communication Systems for Space Missions</t>
  </si>
  <si>
    <t>In this course, the principles of spacecraft communication systems will be examined with a specific emphasis on real-world implementation, application, and performance. Existing commercial, civil, and military systems are described and analyzed, including those for Earth-orbiting, cislunar, and deep space spacecraft. The various entities that spacecraft communication systems interact with are reviewed including the host spacecraft, the space environment, ground- and space-entry points, and sources of interference, both intentional and unintentional. Topics include: requirements analysis and definition, end-to-end functional analysis and definition, design options and implementations, performance predictions and analysis, system integration, system verification, and mission operations. The analysis required for system development and operations are introduced including navigation, link analysis, antenna performance, analog and digital modulation/demodulation systems in noise and interference, filtering, sampling, quantization, encoding, and detection techniques to improve signal-to-noise ratio (SNR) and bit error rate (BER) performance. Prerequisite</t>
  </si>
  <si>
    <t>EN.675.746</t>
  </si>
  <si>
    <t>Digital Engineering for Space</t>
  </si>
  <si>
    <t>EN.675.750</t>
  </si>
  <si>
    <t>Numerical Methods for Space</t>
  </si>
  <si>
    <t>This course explores the numerical algorithms at the core of many of the fundamental as well as advanced computational techniques used in Space Engineering. Engineers routinely use Commercial-Off-The-Shelf (COTS) software tools for creating mission orbits, computing trajectories, and analyze subsystems such as GNC, Communication, and Propulsion. The focus of this course is to develop the mathematical principles and numerical methods behind many of those commonly-used, often times as “black box”, COTS tools, as well as introduce state-of-the-art ones from the current research literature. Students will be exposed to topics such as Numerical Optimization, Differential Correction, Finite Difference and Complex-Step Derivative computation, Stochastic Differential Equations and more. Applications ranging from accurate Orbit Propagation, Launch Vehicle Trajectory Optimization, RF Link Design, Propulsion System sizing and others will be studied through in-class discussions and homework assignments. Students are expected to be comfortable in programming with MATLAB, Python or similar simulation platforms, and must have been exposed to the mathematical topics of Linear Algebra, Differential Equations, Calculus, and elementary Probability through prior coursework.</t>
  </si>
  <si>
    <t>EN.675.751</t>
  </si>
  <si>
    <t>Space Weather</t>
  </si>
  <si>
    <t>This course will explore the space environment in the context of its impact on space system operations. Topics include the impacts of ionospheric variability on HF propagation, satellite communications, and GPS; impacts of energetic charged particles on spacecraft; impacts of auroral precipitation on radar and communication systems; and impacts of varying geomagnetic activity on power grids and space situational awareness. Lectures and homework assignments will prepare engineers to quantify and mitigate space weather impacts, and a final project will consist of a detailed analysis on a system of interest to the student. Prerequisite(s): An undergraduate or graduate degree in a quantitative discipline (e.g., engineering, computer science, mathematics, physics, or equivalent), or with approval of the instructor.</t>
  </si>
  <si>
    <t>EN.675.752</t>
  </si>
  <si>
    <t>Attitude Determination and Control</t>
  </si>
  <si>
    <t>The Attitude Determination and Control Subsystem, or ADCS, is intimately connected with all the other spacecraft subsystems, and will be studied in the context of the systems engineering of the whole spacecraft and its mission. Students will examine the requirements imposed on the ADCS, and will explore how to meet those requirements. To this end, it starts with a student’s understanding of rigid-body dynamics as it relates to spacecraft dynamics and will introduce common and classical approaches to problems encountered in the design of this critical spacecraft subsystem. The course will also include a team design project involving an ADCS for a small spacecraft.</t>
  </si>
  <si>
    <t>EN.675.753</t>
  </si>
  <si>
    <t>Avionics</t>
  </si>
  <si>
    <t>This survey course will focus on the management, engineering development and operation of the spacecraft Avionics system consisting of hardware topics covering Spacecraft Processing; Command Data Handling and Command Execution; Telemetry Acquisition, Conditioning and Conversion and Telemetry Data Handling; Bulk data storage; Fault Management Support; and Timekeeping Support. The course is grounded in computer and data architecture fundamentals with focus on key electronics such as data interfaces, spacecraft processors, volatile and non-volatile memories, field-programmable gate arrays (FPGA), and analog sensors and circuits. Spacecraft Avionics systems topics will be applied through reference design scenarios to illustrate requirements/implementation trades bound by the constraints of the space environment and spacecraft data resource limitations. Topics such as hardware development, integration and test and inflight support will be used to illustrate the difficulties inherent to the spacecraft’s Avionics system.</t>
  </si>
  <si>
    <t>EN.675.754</t>
  </si>
  <si>
    <t>Flight Software</t>
  </si>
  <si>
    <t>This survey course reviews the architectures, designs, and implementations of spacecraft flight software systems. The course provides an overview of typical command and data handling software functions and the open-source tools, frameworks, and applications that can implement them. A semester-long programming assignment is provided to build a working flight software system. Special topics include application to resource-constrained Internet-of-Things (IoT) devices, spacecraft security, and space-based networking. Flight software encompasses the complete set of computer instructions running on every processor on a spacecraft.</t>
  </si>
  <si>
    <t>EN.675.756</t>
  </si>
  <si>
    <t>Spacecraft Antenna Design</t>
  </si>
  <si>
    <t>This course presents an engineering approach to the design of antennas for space systems. Students will examine antennas for both large and small space based platforms in earth orbit and beyond. Antenna design is presented in the context of the space environment with particular attention to the flight design and testing cycle, thermal and mechanical considerations, space compatible materials, and high power operation. A primary focus of the course will be single, dual and shaped reflector designs including feed network topologies. Several horn antenna designs including corrugated and multimode horns will be covered as well as feed network components. A variety of other antennas including helices, patches, and arrays will be discussed for applications including: Global Navigation Satellite System (GNSS); Tracking, Telemetry and Command (TT&amp;C); isoflux; smallsat and cubesat antennas. Prerequisite(s): An undergraduate- or graduate-level introductory antenna systems course, or with approval of the instructor. Course Note(s): This course is cross-listed with 525.656 Antenna Design for Space Systems. SSE students can only register for 675.756.</t>
  </si>
  <si>
    <t>EN.675.761</t>
  </si>
  <si>
    <t>Reliability Engineering and Analysis</t>
  </si>
  <si>
    <t>This course covers the principal methods of reliability analysis as it pertains to space systems. These seek to help development teams to anticipate and find design and operational issues. Basic analytical techniques covered include fault tree and reliability block diagrams; Failure Mode and Effects Analysis (FMEA); event tree construction and evaluation; and reliability data collection and analysis. More advanced techniques of risk and reliability modeling of systems include Bayesian methods and applications, estimation of rare event frequencies, uncertainty analysis and propagation methods. These methods and techniques are integrated into quantitative assessments to address hardware, software, and human reliabilities, as well as their dependencies.</t>
  </si>
  <si>
    <t>EN.675.768</t>
  </si>
  <si>
    <t>Spacecraft Integration and Test</t>
  </si>
  <si>
    <t>This course introduces students to the fundamental principles of developing Integration &amp; Test (I&amp;T) programs for space systems. Topics covered will provide a detailed understanding with practical applications of all phases of Spacecraft I&amp;T starting with the design input/planning phase, staffing/budget phase, subsystem and instrument integration phase, environmental testing phase, and finally the launch campaign phase in the field. Classes will be structured to provide students information exchange sessions with subject matter experts and actual practitioners within the I&amp;T community. Students will learn about all of the Electrical and Mechanical ground support equipment needed to build a spacecraft and the importance of the paperwork and processes used throughout all phases to manage spacecraft systems I&amp;T.</t>
  </si>
  <si>
    <t>EN.675.771</t>
  </si>
  <si>
    <t>Space Mission Design and Navigation</t>
  </si>
  <si>
    <t>Critical to the development of space missions is the careful analysis and design of the desired path of the space vehicle (mission design) and the determination of the space vehicle’s actual state vector (navigation). This course presents these two topics in an integrated manner, intended to provide space engineering professionals with a technical understanding of these complex subjects. Mission Design topics include kinematics, Kepler’s Laws, Newton’s Law of gravitation, modeling of several fidelity levels of spacecraft trajectory dynamics, and optimization of objective functions and satisfaction of constraints. Navigation topics include dynamics and measurement model formulations, standard estimation algorithms such as the Kalman filter and batch estimators, and performance analysis. This course will focus on the theory from a mathematical derivation perspective, example problems, and practical implementation considerations. This is an algorithm intensive course and students are expected to be comfortable with the following: MATLAB programming (or equivalent), Linear Algebra, Linear Systems, Differential Equations, basic Probability concepts, and Calculus.</t>
  </si>
  <si>
    <t>EN.675.772</t>
  </si>
  <si>
    <t>Requirements, Verification and Validation</t>
  </si>
  <si>
    <t>A survey course that reviews the specification, verification and validation of spacecraft flight system requirements. The course provides an overview of the requirements gathering process, subsystem allocation, verification methods, typical spacecraft system tests and test events. An overview of the construction of spacecraft comprehensive performance tests and mission scenarios will be part of this course, as well as the development of a requirements verification matrix.</t>
  </si>
  <si>
    <t>EN.675.781</t>
  </si>
  <si>
    <t>Physics of Space Security</t>
  </si>
  <si>
    <t>This comprehensive course touches the wave tops of the math and physics of offensive and defensive space control systems. The course is developed around the foundational physics of competitor nation systems under development and operational fielding as published in public U.S. government reports. We explore each of the systems and the basic principles that underlie the technological approach at the level of fundamental engineering, math, and physics. The list of techniques that we explore are ground- and space-based kinetic interceptors (and the affects and concerns around orbital debris), accuracy in targeting and orbit estimation, space-based attack robots (touching on rendezvous and proximity operations), fractional orbital bombardment systems, ground-based and space-based electronic jamming and attack as well as laser dazzling and damage. We explore future technologies such as the impacts of quantum encryption, artificial intelligence, cislunar basing, dynamic space operations, the possibility of nuclear weapons in space, and the practical use of space plane systems.</t>
  </si>
  <si>
    <t>EN.675.792</t>
  </si>
  <si>
    <t>Scientific Instruments for Space</t>
  </si>
  <si>
    <t>At the heart of every scientific discovery is a set of measurements enabled by precise and verifiable instrumentation. Through lectures, test case scenario, writing assignments, and design projects, this course draws on the history of scientific instrumentation and techniques for measurement using in-situ and remote sensing technologies to foster and inspire future instrumentation engineers to develop new and better space-based instruments facilitating future scientific discoveries. Topics include the physical basis for remote sensing, precise analog measurements, digital processing, spatial data analysis, verification of measurements, instrument life cycle, and science traceability matrices. The course is not intended to provide students with extensive training in a particular type of scientific instrument (e.g. particle, optical, magnetic). Working knowledge of computing package (e.g. coding in Python or Matlab) and completion of a design project are required. Although there are no specific prerequisites for this course, it will be helpful if students have completed courses 675.600 and 675.601 in this program prior to taking this class.</t>
  </si>
  <si>
    <t>EN.675.793</t>
  </si>
  <si>
    <t>Science and Payload Operations Centers</t>
  </si>
  <si>
    <t>This course will focus on the design and development of science and payload operations centers, and their use to execute the science operations of space missions. Course topics will include science activity planning, interfaces with mission operations and ground systems, science data pipelines, archive delivery, data analysis and science decision making, and operation of the SOC during a mission. Students will learn about the needs of the science and instrument teams, as well as the broader science community, and how to design and operate a software system to satisfy their requirements. Examples will be presented from real missions, with assignments that illustrate the various topics building towards a final simulated science planning activity where the student will step into the shoes of an instrument operations lead and execute a plan using the tools and skills they have developed.Some programming experience in Python, Java, or similar strongly recommended.</t>
  </si>
  <si>
    <t>systems_engineering</t>
  </si>
  <si>
    <t>EN.645.600</t>
  </si>
  <si>
    <t>Technical Writing for Doctoral Proposals and Publications</t>
  </si>
  <si>
    <t>This graduate-level course equips students with the skills and strategies needed to produce high-quality technical papers and compelling research proposals. Students will learn the full research process—from defining a research question and designing a study, to collecting and analyzing data, documenting findings, and communicating results with clarity and precision. Emphasis is placed on writing for acceptance in professional society journals, including understanding publication standards, peer review processes, and ethical considerations in research and authorship. By the end of the course, students will be prepared to craft publishable manuscripts and persuasive research proposals suitable for doctoral program applications or professional grant submissions.</t>
  </si>
  <si>
    <t>EN.645.621</t>
  </si>
  <si>
    <t>Engineering and Measuring Influence</t>
  </si>
  <si>
    <t>Systems engineering requires an understanding of how people interact with complex systems. Often times, human interaction makes up a substantial portion of system variance and controlling this variance is critical for system performance. Engineers must design interventions to influence people through all aspects of the system. Emerging technology can be used to understand, measure, and assess the effectiveness of interventions to influence human behavior and performance. This course will introduce students to theories of behavior change and provide hands on experience using technologies to measure human-system interaction and influence. Technologies will include biometric, psycho-physiological, and neuroimaging systems.</t>
  </si>
  <si>
    <t>EN.645.631</t>
  </si>
  <si>
    <t>Introduction to Model Based Systems Engineering</t>
  </si>
  <si>
    <t>The Introduction to Model Based Systems Engineering course provides an overview of what Model Based Systems Engineering (MBSE) is and how MBSE techniques can be applied to the Systems Engineering process to manage complexity, reduce risk, and potentially streamline the engineering design and development effort. Students will utilize an industry-leading system modeling tool and develop artifacts applied to real-world case studies that reinforce the MBSE concepts of methodology, language, and tools.</t>
  </si>
  <si>
    <t>EN.645.632</t>
  </si>
  <si>
    <t>Applied Analytics for Model Based Systems Engineering</t>
  </si>
  <si>
    <t>This course is a continuation of Introduction to Model Based Systems Engineering (MBSE), and provides in-depth exposure to building and using industry-leading system modeling tools to apply and analyze real-world case studies. This course will focus on the application of Model Based Systems Engineering through the use of a modeling language, a modeling method and a system modeling tool as part of the systems engineering process to support requirements, design, analysis, specification, and verification and validation activities of the system. Concepts that were developed from the previous course are now analyzed to assist the systems engineer to explore the solution space using MBSE.</t>
  </si>
  <si>
    <t>EN.645.650</t>
  </si>
  <si>
    <t>Foundations of Human Systems Engineering</t>
  </si>
  <si>
    <t>Systems are designed, built, and used by humans. Their purpose is to help people meet their goals and perform their tasks. This course introduces the foundations of HSE from which system requirements and design elements are derived. The objective is to provide students with the knowledge of human capabilities and introduce human systems engineering concepts and design principles. Human capabilities include visual, auditory, and touch senses, motion, cognitive processing, and decision making. Human systems engineering concepts and design principles include human factors engineering; training; maintenance; environmental, safety, and health; survivability; habitability; manpower; and personnel.</t>
  </si>
  <si>
    <t>EN.645.651</t>
  </si>
  <si>
    <t>Integrating Humans and Technology</t>
  </si>
  <si>
    <t>This class provides a hands-on introduction to human and cognitive systems engineering. Students will learn and apply user-centered research and innovation methods that are used to discover, document and integrate human capabilities, limitations and needs into the systems engineering process, improving the likelihood that the resulting systems are intuitive, efficient, effective and useful. Topics include needs elicitation, workflow analysis, functional allocation, decision making, prototyping, and performance measurement.</t>
  </si>
  <si>
    <t>EN.645.662</t>
  </si>
  <si>
    <t>Introduction to Systems Engineering</t>
  </si>
  <si>
    <t>This course introduces students to the fundamental principles of systems engineering and their application to the development of complex systems. It describes how the systems engineering viewpoint can be brought to bear to address engineering challenges as well as the essential role of systems engineering in project management. Topics include defining systems, the system development life cycle, and the systems engineering method. These primary topics are decomposed into requirements analysis, functional design, physical design, design validation, concept development, engineering development, and post development. In addition, the tools and methods at the systems engineer's disposal are also covered. These include risk analysis, configuration management, design trade-offs, modeling and simulation, and interface management, as well as how these subjects are linked to systems program management activities. More advanced Systems Engineering topics such as Software Systems, System of Systems, Enterprise Systems, and Agile Systems Engineering are introduced. The course defines the breadth and depth of the knowledge that the systems engineer must acquire concerning the characteristics of the diverse components that constitute the total system. Students will work as a group to develop and present a conceptual system architecture chosen from a list of existing systems in order to gain familiarity with architecting, system modeling, and the relationship between requirements, activities, hardware/software, interfaces, and other system elements. Course Note: Students who successfully complete this course with a grade of 85% or higher are eligible to waive the examination requirement for INCOSE ASEP or CSEP certification through the INCOSE Academic Equivalency program.</t>
  </si>
  <si>
    <t>EN.645.667</t>
  </si>
  <si>
    <t>Management of Systems Projects</t>
  </si>
  <si>
    <t>The course addresses the management of a technical project from concept to operational use, with emphasis on the functions, roles, and responsibilities of the project manager. From the development of a proposal to the delivery of a product to a customer, the efforts to conceive, plan, budget, schedule, monitor, control/direct, and report the progress of the project are discussed. Throughout the project life cycle, the need for good communications, interface and configuration management, and conflict resolution is emphasized. Students assume the role of project managers who must use management tools such as WBS, EVM, and CPN and who must address typical problems that arise in the conduct of a high-technology systems project.</t>
  </si>
  <si>
    <t>EN.645.669</t>
  </si>
  <si>
    <t>Systems Engineering of Deployed Systems</t>
  </si>
  <si>
    <t>Systems engineering theory typically focuses on the early design and development phases of a system’s life cycle, yet over the life of a system, the bulk of engineering effort and the associated costs are not realized until the operations and support (O&amp;S) phase. This course will examine the importance of designing O&amp;S considerations early in a system’s life cycle by identifying the appropriate logistic elements and measures, while introducing the necessary analytical processes and tools to support end-to-end life cycle engineering requirements. Manufacturing and production operations will be presented along with the elements that support a system once it is fielded (maintenance planning, reliability prediction, supply support, training, shipping, and system disposal). The course will also explore the requirements and processes associated with major upgrades to deployed systems and the logistics management techniques that must be implemented during initial fielding and deployment. A class project and real-world case studies will underscore the theory and techniques associated with deployed systems engineering.</t>
  </si>
  <si>
    <t>EN.645.671</t>
  </si>
  <si>
    <t>AI for Systems Engineering</t>
  </si>
  <si>
    <t>This course explores the application of Artificial Intelligence (AI) across the systems engineering (SE) lifecycle. Students examine how AI can augment traditional systems engineering activities including requirements analysis, functional decomposition, architecture development, test and evaluation, decision analysis, risk management, and technical project management. Emphasis is placed on responsible, traceable, and auditable use of AI as an engineering tool—not a decision authority. Through lectures, discussions, hands-on labs, and a multi-week team project, students gain practical experience integrating AI into systems engineering workflows while critically evaluating its limitations, risks, and ethical implications. The course concludes with an exploration of Model-Based Systems Engineering (MBSE) combined with AI and a discussion of future trends in the discipline. Students are expected to register for ChatGPT Plus for the duration of the semester as the primary tool used in the course.</t>
  </si>
  <si>
    <t>EN.645.711</t>
  </si>
  <si>
    <t>Systems Engineering of Radar and Missile Technologies</t>
  </si>
  <si>
    <t>This course emphasizes the key systems engineering processes involved in missile design. Missile technologies including electro-optical and radio-frequency sensors used for target detection; aerodynamics; navigation, guidance, and control; propulsion; warheads; fuzes; and signal and image processing are discussed in conjunction with the critical tradeoffs and methods used to meet operational requirements. The course objectives are demonstrated through a system cost-as-an-independent variable trade and design study that is based on trades of sensor type, guidance type, operational constraints and implementation, and how the system is segregated into different sub-system configurations.</t>
  </si>
  <si>
    <t>EN.645.742</t>
  </si>
  <si>
    <t>Management of Complex Systems</t>
  </si>
  <si>
    <t>Traditional systems engineering is usually applied to closed, precise, and recursive systems with the assertion that the methodologies used can be scaled up to more elaborate systems of systems. This course addresses the more realistic and emerging field of complex systems, where multiple current development efforts with disparate and nonlinear attributes characterize the system components. Managing complex systems must account for the likelihood of multiple disciplines, differing scales, often unpredictable future states, irreducible uncertainty, and nonlinear behavior. Customers, corporations, governments, technologies, and systems now must be considered on a global scale with a mix of new and legacy systems. The student will be encouraged to think differently and creatively about the approaches to managing complex systems and to use adaptive strategies and tools. Special attention will be given to risk assessment and management for dynamic systems. Case studies and examples will be drawn from commercial industry and DoD/government systems. Students will be expected to discuss several readings and complete academic papers to explore in depth one or more of the concepts discussed.</t>
  </si>
  <si>
    <t>EN.645.753</t>
  </si>
  <si>
    <t>Enterprise Systems Engineering</t>
  </si>
  <si>
    <t>Enterprise Systems Engineering is a multidisciplinary approach to the application of systems engineering principles and systems thinking to large sociotechnical enterprises as complex adaptive systems. Health, energy, food, disaster response, and global transportation systems are all examples of such systems. Systems engineering has been a critical enabler of development, and is key, to addressing the complexities of the evolution of complex systems and systems of systems.?In this course, we explore systems thinking and systems engineering approaches that can be applied to this new class of broad sociotechnical enterprise.? We will examine the characteristics of this class of enterprise and the challenges for applying systems engineering to this type of complex adaptive system. These enterprises are comprised of multiple independent organizations with their own objectives, resources, and authority structures without top-level cross cutting authority and may possess conflicting objectives. A process model will be created to describe the activities of key enterprise elements and interactions which, along with external factors, influence the evolution of such enterprises. This model will be used to understand the current enterprise composition and dynamics and evaluate the impact of issues or actions as the basis for systems engineering trades or recommendations.</t>
  </si>
  <si>
    <t>EN.645.755</t>
  </si>
  <si>
    <t>Methods in Human-System Performance Measurement and Analysis</t>
  </si>
  <si>
    <t>This course focuses on human-systems performance measurement (HsPM) methods used to determine whether human-system requirements are met and if the system’s design provides effective and efficient human-system performance. Students will gain knowledge of HsPM study design protocols, data collection tools and methods, analysis techniques and processes, and procedures required to execute studies with human participants. The course will provide students with an understanding of HsPM in the context of system design; workplace design; environment, safety, and occupational health; training; and maintenance. Students will be exposed to heuristic evaluations; modeling and simulation of human tasking, including tools for measuring physical limitations, cognitive load, and fatigue; and system testing with the human element.</t>
  </si>
  <si>
    <t>EN.645.756</t>
  </si>
  <si>
    <t>Metrics, Modeling, and Simulation for Systems Engineering</t>
  </si>
  <si>
    <t>This course takes an integrated, in-depth view of foundational statistical concepts, modeling, and simulation techniques. Knowledge of typical system-level key performance parameters and their stochastic characterization is critical to the systems engineering process as the basis for decision-making from early system conceptualization through retirement. Relevant probability and statistics concepts are covered in context of SE decision points. Techniques in experimental design, data collection, analysis, and modeling of system metrics as a function of system use and environment are explored as they pertain to characterizing system, subsystem, and component performance. Finally, implementing models in analytic simulations to support requirements, design, upgrade, and replacement/retirement phases of the SE process provides the systems engineer with a solid foundation for making and justifying difficult decisions.</t>
  </si>
  <si>
    <t>EN.645.757</t>
  </si>
  <si>
    <t>Foundations of Modeling and Simulation in Systems Engineering</t>
  </si>
  <si>
    <t>This course provides an introduction to the field of modeling and simulation (M&amp;S) from the perspective of M&amp;S as an essential tool for systems engineering. The course presents an overview of the M&amp;S discipline, the model/simulation development process, the types of models and simulations used in the various phases of the systems engineering life cycle, and the verification, validation, and accreditation of models and simulation. The strengths and limitations of M&amp;S are explored with respect to the application of M&amp;S use in systems engineering. Examples are given for several types of systems, including both military and civilian systems. Statistical methods used in applying M&amp;S in systems engineering are explained. The Arena process modeling tool is used for some examples, an individual assignment, and a team-based project. Upon completion of the course, the student will be able to explain when M&amp;S will provide meaningful support to a technical program, select the appropriate modeling techniques for a given task, plan the development of a model/simulation and the modeling of its input data, and analyze the results of its execution to support decisions at key milestones of a system's life cycle.</t>
  </si>
  <si>
    <t>EN.645.758</t>
  </si>
  <si>
    <t>Advanced Systems Modeling and Simulation</t>
  </si>
  <si>
    <t>This course provides in-depth exposure to the field of modeling and simulation (M&amp;S) from the perspective of M&amp;S as an essential tool for systems engineering. Advanced statistical methods are used to conduct requirements-driven simulation analysis and experimentation. The course provides treatment of advanced M&amp;S topics, including methods for simulation interoperability and composability; modeling of the system environment, both natural and man-made; modeling of system costs; and the establishment of collaborative M&amp;S environments. The course also explores continuous and real-time simulation. Students are exposed to the techniques used to form conceptual models of mechanical (both translational and rotational), electrical, fluid, thermal, biological, and hybrid systems. The conceptual models are transformed into mathematical models and implemented in a modern simulation package. State-of-the-art tools are explored, and each student is given the opportunity to conduct a simulation study of a complex system. Each student will present a case study and complete a project. Upon completion of the course, the student will be able to conduct or lead the development of the model of a complex physical system, model the input data, and analyze the results to support decisions at key milestones of a system's life cycle.</t>
  </si>
  <si>
    <t>EN.645.761</t>
  </si>
  <si>
    <t>Systems Architecting</t>
  </si>
  <si>
    <t>This course provides a deep dive into the discipline of systems architecting by exploring systems engineering from the perspective of the systems architect. Students will learn how to define, analyze, and communicate architectures that address complex stakeholder needs, operational goals, and engineering constraints. Emphasis is placed on the development of architecture artifacts—including requirements, and functional, logical, physical, and interface models—as well as the application of a variety of architecture analysis tools and techniques. Students will gain the skills to not only construct architectures, but also to reason about them, manage their evolution, and ensure coherence across architecture views throughout the system development lifecycle.</t>
  </si>
  <si>
    <t>EN.645.764</t>
  </si>
  <si>
    <t>This course for systems engineers covers software engineering principles, artifacts, and approaches for the development of software systems. Topics include software engineering processes and metrics; real-time, distributed, configurable, and object-oriented software; alignment of software systems with overall system design; software-unique aspects of planning, requirements, architecture analysis, design, implementation, testing, and maintenance; understanding important software engineering constraints (performance, security, networking, etc.); and technology trends in software engineering today.</t>
  </si>
  <si>
    <t>EN.645.766</t>
  </si>
  <si>
    <t>Systems Engineering Advanced Technology</t>
  </si>
  <si>
    <t>This course explores the frontier of advanced technology through the lens of systems engineering, equipping students to analyze, anticipate, and responsibly integrate emerging innovations across complex socio-technical ecosystems. Students will engage with over a dozen transformative technologies—including artificial intelligence, quantum computing, synthetic biology, advanced wireless networks, and space systems—while considering their systemic implications, ethical underpinnings, lifecycle integration, and historical evolution. Each technology is presented not as a standalone advancement but as an enabling component within interconnected systems that shape industries, societies, and the future of engineered environments.Grounded in systems approaches, the course emphasizes strategic foresight, ethical framing, and lifecycle adaptation. Students will assess not only the technical impacts of emerging technologies but also their broader ethical, social, and historical contexts. Through peer discussions, case studies, and cutting-edge journal reviews, learners will critically evaluate technology trajectories, identify stakeholder impacts, and examine cross-disciplinary challenges. Special attention is given to forecasting integration strategies that inform decision-making in real-world applications.The course's final project challenges students to develop a novel system concept that synthesizes two to five of the featured advanced technologies. This project integrates scenario development, stakeholder analysis, ethical reflection, and historical grounding. By the end of the course, students will have cultivated a forward-looking systems mindset, enhanced their ability to communicate complex technological impacts, and strengthened their capacity to lead responsibly in an era of rapid technological change.</t>
  </si>
  <si>
    <t>EN.645.767</t>
  </si>
  <si>
    <t>System Conceptual Design</t>
  </si>
  <si>
    <t>This course addresses in detail the systems engineer’s responsibilities and activities during the conceptual phases of a system development program. Systems engineering tools commonly employed at this stage of a program are presented along with selected problems that illustrate both the applicability and limitations of commonly employed tools and procedures. The course steps through conceptual design beginning with analysis of needs and objectives and proceeding to the exploration of alternative concepts and the selection of a concept that best meets goals of performance, timeliness, and affordability. Topics include definition of operational scenarios, functional analysis, risk assessment, system tradeoffs, measures of effectiveness, and requirements formulation. Emphasis is on the application of these systems engineering techniques in a team environment to a class project. Students apply systems engineering methods learned from reading and lectures to the development of a realistic system in an ongoing project in a team format.</t>
  </si>
  <si>
    <t>EN.645.768</t>
  </si>
  <si>
    <t>System Design &amp; Integration</t>
  </si>
  <si>
    <t>This course addresses the systems engineering objectives, responsibilities, and activities during the demonstration and validation and the engineering and manufacturing development phases of a system development program. Systems engineering procedures and tools employed during these phases are identified and their use illustrated. Topics include the relationship between a system specification and the system design, systems engineering management plans, risk management, system development models, customer integration into the design process, and design disciplines and practices. The course uses a system problem scenario extensively to illustrate systems engineering principles and specific product design issues.</t>
  </si>
  <si>
    <t>EN.645.769</t>
  </si>
  <si>
    <t>System Test &amp; Evaluation</t>
  </si>
  <si>
    <t>This course focuses on the application of systems engineering principles to the test and evaluation of system elements and, ultimately, of the total system. Test requirements, selection of critical test parameters, analysis of test results, and determination of remedial action in the event of discrepancies are all systems engineering functions. Topics include validation and verification, similarities and differences in the nature of hardware and software testing, test tools and test procedures, testing during hardware-software integration, quality assurance test, environmental test, and operational test and evaluation. Student problems include scenario case studies using examples developed in the several previous courses.</t>
  </si>
  <si>
    <t>EN.645.771</t>
  </si>
  <si>
    <t>System of Systems Engineering</t>
  </si>
  <si>
    <t>This course addresses the special engineering problems associated with conceiving, developing, and operating systems composed of groups of complex systems closely linked to function as integral entities. The course will start with the underlying fundamentals of systems’ requirements, design, test and evaluation, and deployment, and how they are altered in the multi-system environment. These topics will then be extended to information flow and system interoperability, confederated modeling and simulation, use of commercial off-the-shelf elements, and systems engineering collaboration between different organizations. Advanced principles of information fusion, causality theory with Bayesian networks, and capability dependencies will be explored. Several case studies will be discussed for specific military systems of systems, including missile defense and combatant vehicle design, as well as selected commercial examples.Course Note(s): Selected as one of the electives in the MSE or MS program or a required course for the post-master’s certificate.</t>
  </si>
  <si>
    <t>EN.645.772</t>
  </si>
  <si>
    <t>Systems Innovation</t>
  </si>
  <si>
    <t>Systems thinking and systems engineering are fundamentally problem-framing and problem-solving approaches that help provide more comprehensive solutions by considering the broader context, vigorously investigating and designing alternatives and interfaces, and exhaustively verifying requirements and operational outcomes. However, the systems approach is also inherently innovative because it leverages unique adaptable systems tools, tailorable approaches, and limitless dimensional frameworks and analyses. This course will show the student how to explore and mine key features of the systems process with the goal of demonstrating innovative techniques and innovative problem identification and solution approaches. You will see in this course that innovation is not just new technology or basic science discoveries, but the practice of successfully creating and adapting ideas, methods, or processes with the goal of delivering breakthrough value and impact for stakeholders and customers. The more complete form of innovation used in this course will enable the student to directly harness the systems principles more creatively through innovation exemplars, design thinking techniques, reflective thinking, and brainstorming techniques; and, by demonstrating at each of step of the systems lifecycle there are opportunities to be innovative.</t>
  </si>
  <si>
    <t>EN.645.780</t>
  </si>
  <si>
    <t>Agile Systems Engineering</t>
  </si>
  <si>
    <t>The development of large, complex, software-intensive hardware systems has become extremely challenging for systems engineers. Some examples are virtually all modern military systems, commercial automotive and aeronautical industries, even medical devices, each containing an extensive set of interconnected, software-driven electrical and mechanical components and are digitally connected to the outside world. This course will show you how to effectively lead teams capable of addressing this complexity using deliberate, incremental learning intervals throughout the system’s development and improvement lifecycles. You will explore how to successfully lead your team in executing these learning intervals using Agile methods, modular hardware and software architectures, integrated descriptive and analytic modeling, Lean and Design Thinking all integrated with the foundational principles of systems engineering. This course will show you how the increasingly ubiquitous, cross-industry digital transformation supports these learning intervals using Digital Threads, Digital Twins and development pipelines called DEVSECOPS. All of the lectures in this course are available asynchronously as recorded videos along with a textbook and other learning material.</t>
  </si>
  <si>
    <t>EN.645.781</t>
  </si>
  <si>
    <t>Systems Thinking and Systems Dynamics</t>
  </si>
  <si>
    <t>Systems thinking is the ability to perform insightful and comprehensive problem solving of complex systems. Fundamental to systems thinking is system dynamics, an approach used to understand the nonlinear behavior of complex systems over time using stocks, flows, internal feedback-loops, a variety of functions, and time-delays. This course will investigate the needs, motivations, and frameworks of systems thinking employing causal-loop diagram archetypes, as well as establish foundational concepts and approaches for systems thinking problem construction. From these foundations, system dynamic approaches, analytical models-tools, and simulations will be constructed to mature foundational systems thinking problem frameworks for quick, insightful, and quantitative impact-analysis. A variety of systems thinking problems will be addressed through the assembly of causal-loop diagrams, followed by the construction of system dynamics models, with a specific focus on emerging challenges of supply management and healthcare systems engineering and delivery. The course concludes with a series of reflective and inspirational challenges and opportunities, with the goal of solidifying comprehensive systems thinking acumen. This course will use The Fifth Discipline by Peter M. Senge, Thinking in Systems – A Primer by Donella H. Meadows, and Systems Thinking Tools – A User’s Refence Guide by Daniel H. Kim as course textbooks. Also, a variety of relevant articles, papers, and recorded video material will be used. Vensim © (freeware version: https://vensim.com/ ) will be the system dynamics modeling tool used in the course.</t>
  </si>
  <si>
    <t>EN.645.782</t>
  </si>
  <si>
    <t>Foundations of Digital and Mission Engineering</t>
  </si>
  <si>
    <t>This course provides an introduction to Digital Engineering and Mission Engineering, both of which are topics of emerging emphasis, particularly in the U.S. Defense community. The course begins with a review of the systems engineering process, with its technical and technical management processes, as it is applied in the U.S. Department of Defense (DoD) acquisition lifecycle. It then provides an overview of the DoD Digital Engineering Strategy, and discusses key competencies needed for Digital Engineering. As Modeling and Simulation (M&amp;S) and Model Based Systems Engineering (MBSE) are key to the implementation of Digital Engineering, the course discusses fundamental concepts of M&amp;S and how models and simulations are used in the various phases of the systems engineering process. Key MBSE concepts are then presented, along with an overview of the Systems Modeling Language (SysML) and its constituent diagrams, followed by an overview of the Object-Oriented Systems Engineering Method (OOSEM). The course then discusses how to apply these MBSE concepts to analyze several selected real-world case studies. A generic framework for a collaborative environment to support digital engineering is presented, along with how it might be used to support the development of digital twins and digital threads for a system. The underlying concepts and the key methodology elements of Mission Engineering are then described, based on the DoD Mission Engineering Guidebook. Finally, the course examines how and why Digital Engineering supports the implementation of Mission Engineering.</t>
  </si>
  <si>
    <t>EN.645.783</t>
  </si>
  <si>
    <t>Systems Engineering Process Improvement</t>
  </si>
  <si>
    <t>Through lectures and facilitated teamwork, this course presents the fundamental concepts of continuous process improvement in the context of systems engineering. Students will explore how to define, map, model and simulate, assess, manage, and improve a systems engineering process. This will enable students to lead or contribute to a systems engineering process improvement effort on the job, and to be better prepared for certifying their systems engineering expertise.</t>
  </si>
  <si>
    <t>EN.645.784</t>
  </si>
  <si>
    <t>Decision Science &amp; Analytics in Systems Engineering</t>
  </si>
  <si>
    <t>Through lectures, readings, and projects, this course imparts the fundamental concepts of decision science and analytics in the context of Systems Engineering. Topics include objectives hierarchies, influence diagrams, measures of effectiveness, measures of performance, morphological analysis, methods for mitigating combinatorial explosion, Pareto frontiers, sensitivity analyses, uncertainty analyses, information visualizations, and multiple objective selection methods. The course is not intended to provide students with extensive training in particular software packages. However, hands-on computer laboratory sessions re-enforce critical concepts.</t>
  </si>
  <si>
    <t>healthcare_systems_engineering</t>
  </si>
  <si>
    <t>EN.655.662</t>
  </si>
  <si>
    <t>Intro to Healthcare Systems Engineering</t>
  </si>
  <si>
    <t>This course introduces students to the fundamental principles of healthcare systems engineering and their application to the development of complex systems. It describes how the systems engineering viewpoint differs from that of the healthcare provider, as well as the essential role that systems engineering plays as an integral component of program management. Topics include integrated systems engineering life cycle purpose and constructs, delineation of different complex system types, requirements analysis, concept definition, system synthesis, design trade-offs, risk assessment, interface definition, engineering design, system integration, and related systems engineering activities. The course defines the breadth and depth of the knowledge that the healthcare systems engineer must acquire concerning the characteristics of the diverse components that constitute the total system. Special topics such as architectures, interfaces, simulation and models, and test and evaluation are discussed in relation to the healthcare systems engineering viewpoint. Students address typical systems engineering problems that highlight important healthcare issues and methods of technical problem resolution.</t>
  </si>
  <si>
    <t>EN.655.667</t>
  </si>
  <si>
    <t>Management of Healthcare Systems Projects</t>
  </si>
  <si>
    <t>The course addresses the management of a technical project from concept to operational use, with emphasis on the functions, roles, and responsibilities of the healthcare systems project manager. From the development of a proposal to the delivery of a product and/or service to a customer, the efforts to conceive, plan, budget, schedule, monitor, control/direct, and report the progress of the project are discussed. Throughout the project life cycle, the need for good communications, interface and configuration management, and conflict resolution is emphasized. Students assume the role of project managers who must use management tools such as WBS, EVM, and CPN and who must address typical problems that arise in the conduct of a high-technology systems project.</t>
  </si>
  <si>
    <t>EN.655.705</t>
  </si>
  <si>
    <t>Transformational Capabilities in Health</t>
  </si>
  <si>
    <t>This course introduces students to selected transformational capabilities that are currently impacting healthcare systems and will continue for the foreseeable future. The selected transformational capabilities will be discussed in the context of a healthcare systems thinking-engineering strategy to best leverage the capability for a more cohesive and integrated healthcare ecosystem. The topics that will be discussed include: Personal Wearables and Apps, Personalized Medicine, Digital Health, Data Science and AI/ML, Telehealth &amp; Telemedicine, Predictive Analytics/Forecasting, Virtual/Augmented Reality, Interoperability, Resilient Systems, and Supply Chains. Each transformation capability will be delineated with its unique attributes, applied to selected healthcare ecosystems, and then discussed within a systems thinking-engineering development approach to help demonstrate its overall impact and comprehensive integrated value.</t>
  </si>
  <si>
    <t>EN.655.706</t>
  </si>
  <si>
    <t>AI-supported Healthcare Systems Engineering</t>
  </si>
  <si>
    <t>AI-Assisted Healthcare Systems Engineering is an interdisciplinary course that prepares students to integrate artificial intelligence (AI) into the systems engineering lifecycle of healthcare delivery. Built upon the Kossiakoff systems engineering model, the course guides students through foundational concepts in AI, systems thinking, and healthcare operations. Students will examine how AI technologies—such as machine learning, natural language processing, and simulation—can be applied to improve clinical decision-making, administrative processes, and overall system performance in complex healthcare environments.Throughout the course, students engage with practical tools and methods to design, model, and evaluate AI-enabled healthcare systems across all lifecycle phases—from stakeholder needs analysis to system retirement. Key areas of focus include requirements engineering, system architecture, modeling and simulation, ethical and regulatory considerations, test and evaluation, and lifecycle monitoring. Real-world case studies and simulations help students explore how AI can address challenges in areas like clinical decision support, personalized medicine, supply chain logistics, and process optimization.The course culminates in a capstone project where the students individually design a comprehensive, AI-enabled healthcare system approach that demonstrates lifecycle integration. By the end, participants will be equipped with a multidisciplinary skill set—combining technical systems knowledge, AI tools, ethical analysis, and cross-functional communication—to lead innovation and transformation in healthcare settings.</t>
  </si>
  <si>
    <t>EN.655.767</t>
  </si>
  <si>
    <t>Healthcare System Conceptual Design</t>
  </si>
  <si>
    <t>This course addresses in detail the healthcare systems engineer’s responsibilities and activities during the conceptual phases of a healthcare system development program. Systems engineering tools commonly employed at this stage of a program are presented along with selected problems that illustrate both the applicability and limitations of commonly employed tools and procedures to the solving current healthcare issues. The course steps through conceptual design beginning with analysis of needs and objectives and proceeding to the exploration of concepts and the selection of a concept that best meets goals of performance, timeliness, and affordability. Topics include definition of operational scenarios, functional analysis, risk assessment, system trade-offs, measures of effectiveness, and requirements formulation. Emphasis is on the application of these systems engineering techniques in a team environment to a class project. Students apply systems engineering methods learned from reading and lectures to the development of a realistic system in an ongoing project in a team format.</t>
  </si>
  <si>
    <t>EN.655.768</t>
  </si>
  <si>
    <t>Healthcare System Design &amp; Integration</t>
  </si>
  <si>
    <t>This course addresses the healthcare systems engineering objectives, responsibilities, and activities during the engineering development phase of the system lifecycle using Model Based Systems Engineering (MBSE) tools. Healthcare systems engineering procedures and tools used during this phase are identified and their use illustrated. Topics include the relationship between a system specification and the system design, risk management and patient safety, system design models, healthcare provider and patient integration into the design process, and healthcare system design disciplines and practices. The course uses a healthcare system scenario extensively to apply systems engineering principles and practices through development of a Systems Modeling Language (SysML) model.</t>
  </si>
  <si>
    <t>EN.655.769</t>
  </si>
  <si>
    <t>Healthcare System Test and Evaluation</t>
  </si>
  <si>
    <t>This is a course in systems engineering viewed from a “test and evaluation” perspective. “You” are the system engineer who will repeatedly be asked “Is the system ready?” The course will look at the employment of Test and Evaluation in a Healthcare environment to supplement the development process for greater overall product quality. This course focuses on the application of systems engineering principles to the test and evaluation of system elements and, ultimately, of the total system. Test requirements, selection of critical test parameters, analysis of test results, and determination of remedial action in the event of discrepancies are all systems engineering functions. Topics include validation and verification, similarities and differences in the nature of hardware and software testing, test tools and test procedures, testing during hardware-software integration, quality assurance test, environmental test, and operational test and evaluation. Student problems include scenario case studies using examples developed in the several previous courses.</t>
  </si>
  <si>
    <t>EN.655.771</t>
  </si>
  <si>
    <t>Healthcare Systems</t>
  </si>
  <si>
    <t>This course will cover the fundamental elements of modern healthcare systems, including their structure, processes, and relation to information systems and system interfaces. It also covers the organization, financing, and delivery of healthcare in the United States. It also discusses several potential small and large-scale reforms to the U.S. healthcare system and evaluates their likely effects on healthcare spending, quality of care, and access to care.</t>
  </si>
  <si>
    <t>occupational_environmental_hygiene</t>
  </si>
  <si>
    <t>PH.188.680</t>
  </si>
  <si>
    <t>Fundamentals of Occupational Health</t>
  </si>
  <si>
    <t>N/A</t>
  </si>
  <si>
    <t>PH.140.611</t>
  </si>
  <si>
    <t>Statistical Reasoning in Public Health I</t>
  </si>
  <si>
    <t>PH.182.622</t>
  </si>
  <si>
    <t>Ventilation and Hazard Control</t>
  </si>
  <si>
    <t>PH.187.610</t>
  </si>
  <si>
    <t>Public Health Toxicology</t>
  </si>
  <si>
    <t>PH.140.612</t>
  </si>
  <si>
    <t>Statistical Reasoning in Public Health II</t>
  </si>
  <si>
    <t>PH.182.623</t>
  </si>
  <si>
    <t>Occupational Health Management</t>
  </si>
  <si>
    <t>PH.182.621</t>
  </si>
  <si>
    <t>Introduction to Ergonomics</t>
  </si>
  <si>
    <t>PH.140.613</t>
  </si>
  <si>
    <t>Data Analysis Workshop I 1</t>
  </si>
  <si>
    <t>PH.140.614</t>
  </si>
  <si>
    <t>Data Analysis Workshop II 1</t>
  </si>
  <si>
    <t>PH.317.600</t>
  </si>
  <si>
    <t>Introduction to the Risk Sciences and Public Policy</t>
  </si>
  <si>
    <t>PH.340.721</t>
  </si>
  <si>
    <t>Epidemiologic Inference in Public Health I</t>
  </si>
  <si>
    <t>PH.182.615</t>
  </si>
  <si>
    <t>Airborne Particles</t>
  </si>
  <si>
    <t>PH.182.637</t>
  </si>
  <si>
    <t>Noise and Other Physical Agents in the Environment</t>
  </si>
  <si>
    <t>PH.182.613</t>
  </si>
  <si>
    <t>Exposure Assessment Techniques for Health Risk Management</t>
  </si>
  <si>
    <t>PH.182.625</t>
  </si>
  <si>
    <t>Principles of Occupational and Environmental Hygiene</t>
  </si>
  <si>
    <t>PH.305.615</t>
  </si>
  <si>
    <t>Occupation Injury Prevention and Safety Policy and Practice</t>
  </si>
  <si>
    <t>PH.317.610</t>
  </si>
  <si>
    <t>Risk Policy, Management and Communication</t>
  </si>
  <si>
    <t>PH.180.628</t>
  </si>
  <si>
    <t>Introduction To Environmental and Occupational Health Law</t>
  </si>
  <si>
    <t>PH.182.614</t>
  </si>
  <si>
    <t>Environmental and Occupational Monitoring 1</t>
  </si>
  <si>
    <t>PH.188.681</t>
  </si>
  <si>
    <t>Onsite Evaluation of Workplace and Occupational Health Programs 1</t>
  </si>
  <si>
    <t>Research</t>
  </si>
  <si>
    <t>EN.535.800</t>
  </si>
  <si>
    <t>Independent Study</t>
  </si>
  <si>
    <t>Research Elective (Core Engineering Discipline)</t>
  </si>
  <si>
    <t>An individually tailored, supervised project on a subject related to mechanical engineering. The content and expectations are formalized in negotiations between the student and faculty sponsor.</t>
  </si>
  <si>
    <t>EN.535.801</t>
  </si>
  <si>
    <t>Thesis</t>
  </si>
  <si>
    <t>EN.535.820</t>
  </si>
  <si>
    <t>Master's Graduate Research</t>
  </si>
  <si>
    <t>Thesis Elective (Core Engineering Discipline)</t>
  </si>
  <si>
    <t>Original mechanical engineering research conducted under the guidance of an approved research advisor.</t>
  </si>
  <si>
    <t>EN.535.821</t>
  </si>
  <si>
    <t>Master's Graduate Thesis</t>
  </si>
  <si>
    <t>Guidance and support for writing and completing the mechanical engineering master's thesis.</t>
  </si>
  <si>
    <t>SP 20</t>
  </si>
  <si>
    <t>SU 20</t>
  </si>
  <si>
    <t>Aerospace Engineering - General</t>
  </si>
  <si>
    <t>FA 20</t>
  </si>
  <si>
    <t>SU 22</t>
  </si>
  <si>
    <t>FA 22</t>
  </si>
  <si>
    <t>SP 24</t>
  </si>
  <si>
    <t>SU 24</t>
  </si>
  <si>
    <t>FA 24</t>
  </si>
  <si>
    <t>SP 25</t>
  </si>
  <si>
    <t>SU 25</t>
  </si>
  <si>
    <t>FA 25</t>
  </si>
  <si>
    <t>SU 26</t>
  </si>
  <si>
    <t>FA 26</t>
  </si>
  <si>
    <t>SP 27</t>
  </si>
  <si>
    <t>SU 27</t>
  </si>
  <si>
    <t>FA 27</t>
  </si>
  <si>
    <t>SP 28</t>
  </si>
  <si>
    <t>SU 28</t>
  </si>
  <si>
    <t>FA 28</t>
  </si>
  <si>
    <t>SP 29</t>
  </si>
  <si>
    <t>SU 29</t>
  </si>
  <si>
    <t>FA 29</t>
  </si>
  <si>
    <t>SP 30</t>
  </si>
  <si>
    <t>SU 30</t>
  </si>
  <si>
    <t>FA 30</t>
  </si>
  <si>
    <t>SP 31</t>
  </si>
  <si>
    <t>SU 31</t>
  </si>
  <si>
    <t>FA 31</t>
  </si>
  <si>
    <t>SP 32</t>
  </si>
  <si>
    <t>SU 32</t>
  </si>
  <si>
    <t>FA 32</t>
  </si>
  <si>
    <t>SP 33</t>
  </si>
  <si>
    <t>SU 33</t>
  </si>
  <si>
    <t>FA 33</t>
  </si>
  <si>
    <t>SP 34</t>
  </si>
  <si>
    <t>SU 34</t>
  </si>
  <si>
    <t>FA 34</t>
  </si>
  <si>
    <t>SP 35</t>
  </si>
  <si>
    <t>SU 35</t>
  </si>
  <si>
    <t>FA 35</t>
  </si>
  <si>
    <t>SP 36</t>
  </si>
  <si>
    <t>SU 36</t>
  </si>
  <si>
    <t>FA 36</t>
  </si>
  <si>
    <t>SP 37</t>
  </si>
  <si>
    <t>SU 37</t>
  </si>
  <si>
    <t>FA 37</t>
  </si>
  <si>
    <t>SP 38</t>
  </si>
  <si>
    <t>SU 38</t>
  </si>
  <si>
    <t>FA 38</t>
  </si>
  <si>
    <t>SP 39</t>
  </si>
  <si>
    <t>SU 39</t>
  </si>
  <si>
    <t>FA 39</t>
  </si>
  <si>
    <t>SP 40</t>
  </si>
  <si>
    <t>SU 40</t>
  </si>
  <si>
    <t>FA 40</t>
  </si>
  <si>
    <t>SP 41</t>
  </si>
  <si>
    <t>SU 41</t>
  </si>
  <si>
    <t>FA 41</t>
  </si>
  <si>
    <t>SP 42</t>
  </si>
  <si>
    <t>SU 42</t>
  </si>
  <si>
    <t>FA 42</t>
  </si>
  <si>
    <t>SP 43</t>
  </si>
  <si>
    <t>SU 43</t>
  </si>
  <si>
    <t>FA 43</t>
  </si>
  <si>
    <t>SP 44</t>
  </si>
  <si>
    <t>SU 44</t>
  </si>
  <si>
    <t>FA 44</t>
  </si>
  <si>
    <t>SP 45</t>
  </si>
  <si>
    <t>SU 45</t>
  </si>
  <si>
    <t>FA 45</t>
  </si>
  <si>
    <t>SP 46</t>
  </si>
  <si>
    <t>SU 46</t>
  </si>
  <si>
    <t>FA 46</t>
  </si>
  <si>
    <t>SP 47</t>
  </si>
  <si>
    <t>SU 47</t>
  </si>
  <si>
    <t>FA 47</t>
  </si>
  <si>
    <t>SP 48</t>
  </si>
  <si>
    <t>SU 48</t>
  </si>
  <si>
    <t>FA 48</t>
  </si>
  <si>
    <t>SP 49</t>
  </si>
  <si>
    <t>SU 49</t>
  </si>
  <si>
    <t>FA 49</t>
  </si>
  <si>
    <t>SP 50</t>
  </si>
  <si>
    <t>SU 50</t>
  </si>
  <si>
    <t>FA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</si>
</sst>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4"/>
      <color theme="1"/>
      <name val="Calibri"/>
      <family val="2"/>
      <scheme val="minor"/>
    </font>
    <font>
      <sz val="10"/>
      <color theme="1"/>
      <name val="Calibri"/>
      <family val="2"/>
      <scheme val="minor"/>
    </font>
    <font>
      <i/>
      <sz val="9"/>
      <color theme="1"/>
      <name val="Calibri"/>
      <family val="2"/>
      <scheme val="minor"/>
    </font>
    <font>
      <sz val="9"/>
      <color rgb="FF002060"/>
      <name val="Calibri"/>
      <family val="2"/>
      <scheme val="minor"/>
    </font>
    <font>
      <u/>
      <sz val="11"/>
      <color theme="10"/>
      <name val="Calibri"/>
      <family val="2"/>
      <scheme val="minor"/>
    </font>
    <font>
      <b/>
      <sz val="10"/>
      <color rgb="FF000000"/>
      <name val="Calibri"/>
      <family val="2"/>
      <scheme val="minor"/>
    </font>
    <font>
      <sz val="8"/>
      <color rgb="FF000000"/>
      <name val="Calibri"/>
      <family val="2"/>
    </font>
    <font>
      <sz val="11"/>
      <color rgb="FF000000"/>
      <name val="Calibri"/>
      <family val="2"/>
    </font>
    <font>
      <sz val="10"/>
      <color rgb="FF2C2C33"/>
      <name val="Calibri"/>
      <family val="2"/>
    </font>
    <font>
      <sz val="11"/>
      <color rgb="FF2C2C33"/>
      <name val="Calibri"/>
      <family val="2"/>
    </font>
    <font>
      <sz val="11"/>
      <color rgb="FF2C2C33"/>
      <name val="Calibri"/>
      <family val="2"/>
      <scheme val="minor"/>
    </font>
    <font>
      <i/>
      <sz val="10"/>
      <color theme="1"/>
      <name val="Calibri"/>
      <family val="2"/>
      <scheme val="minor"/>
    </font>
    <font>
      <i/>
      <sz val="9"/>
      <color rgb="FF000000"/>
      <name val="Calibri"/>
      <family val="2"/>
    </font>
    <font>
      <b/>
      <sz val="11"/>
      <color rgb="FF000000"/>
      <name val="Calibri"/>
      <family val="2"/>
    </font>
    <font>
      <b/>
      <sz val="11"/>
      <color theme="0"/>
      <name val="Calibri"/>
      <family val="2"/>
      <scheme val="minor"/>
    </font>
    <font>
      <sz val="10"/>
      <color theme="1"/>
      <name val="Liberation Sans"/>
      <charset val="1"/>
    </font>
  </fonts>
  <fills count="10">
    <fill>
      <patternFill patternType="none"/>
    </fill>
    <fill>
      <patternFill patternType="gray125"/>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D9D9D9"/>
        <bgColor rgb="FF000000"/>
      </patternFill>
    </fill>
    <fill>
      <patternFill patternType="solid">
        <fgColor rgb="FFDDEBF7"/>
        <bgColor rgb="FF000000"/>
      </patternFill>
    </fill>
    <fill>
      <patternFill patternType="solid">
        <fgColor theme="1" tint="4.9989318521683403E-2"/>
        <bgColor indexed="64"/>
      </patternFill>
    </fill>
    <fill>
      <patternFill patternType="solid">
        <fgColor rgb="FFC00000"/>
        <bgColor indexed="64"/>
      </patternFill>
    </fill>
    <fill>
      <patternFill patternType="solid">
        <fgColor rgb="FF00206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top style="thin">
        <color indexed="64"/>
      </top>
      <bottom/>
      <diagonal/>
    </border>
    <border>
      <left/>
      <right style="thin">
        <color indexed="64"/>
      </right>
      <top style="thin">
        <color indexed="64"/>
      </top>
      <bottom style="thin">
        <color indexed="64"/>
      </bottom>
      <diagonal/>
    </border>
    <border>
      <left/>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2">
    <xf numFmtId="0" fontId="0" fillId="0" borderId="0"/>
    <xf numFmtId="0" fontId="5" fillId="0" borderId="0" applyNumberFormat="0" applyFill="0" applyBorder="0" applyAlignment="0" applyProtection="0"/>
  </cellStyleXfs>
  <cellXfs count="60">
    <xf numFmtId="0" fontId="0" fillId="0" borderId="0" xfId="0"/>
    <xf numFmtId="0" fontId="1" fillId="0" borderId="0" xfId="0" applyFont="1" applyAlignment="1">
      <alignment vertical="center"/>
    </xf>
    <xf numFmtId="0" fontId="0" fillId="0" borderId="1" xfId="0" applyBorder="1"/>
    <xf numFmtId="0" fontId="2" fillId="0" borderId="0" xfId="0" applyFont="1"/>
    <xf numFmtId="0" fontId="0" fillId="3" borderId="1" xfId="0" applyFill="1" applyBorder="1"/>
    <xf numFmtId="0" fontId="0" fillId="3" borderId="1" xfId="0" applyFill="1" applyBorder="1" applyAlignment="1">
      <alignment horizontal="center"/>
    </xf>
    <xf numFmtId="0" fontId="5" fillId="0" borderId="0" xfId="1"/>
    <xf numFmtId="0" fontId="8" fillId="6" borderId="1" xfId="0" applyFont="1" applyFill="1" applyBorder="1"/>
    <xf numFmtId="0" fontId="9" fillId="0" borderId="0" xfId="0" applyFont="1" applyAlignment="1">
      <alignment horizontal="left" wrapText="1"/>
    </xf>
    <xf numFmtId="0" fontId="8" fillId="0" borderId="0" xfId="0" applyFont="1"/>
    <xf numFmtId="0" fontId="13" fillId="5" borderId="0" xfId="0" applyFont="1" applyFill="1"/>
    <xf numFmtId="0" fontId="7" fillId="5" borderId="0" xfId="0" applyFont="1" applyFill="1" applyAlignment="1">
      <alignment wrapText="1"/>
    </xf>
    <xf numFmtId="0" fontId="8" fillId="0" borderId="1" xfId="0" applyFont="1" applyBorder="1"/>
    <xf numFmtId="0" fontId="0" fillId="0" borderId="0" xfId="0" applyAlignment="1">
      <alignment wrapText="1"/>
    </xf>
    <xf numFmtId="0" fontId="0" fillId="3" borderId="1" xfId="0" applyFill="1" applyBorder="1" applyAlignment="1">
      <alignment horizontal="center" vertical="center"/>
    </xf>
    <xf numFmtId="0" fontId="0" fillId="0" borderId="1" xfId="0" applyBorder="1" applyAlignment="1">
      <alignment horizontal="left" vertical="center"/>
    </xf>
    <xf numFmtId="0" fontId="0" fillId="3" borderId="1" xfId="0" applyFill="1" applyBorder="1" applyAlignment="1">
      <alignment horizontal="left" vertical="center"/>
    </xf>
    <xf numFmtId="0" fontId="0" fillId="0" borderId="0" xfId="0" applyAlignment="1">
      <alignment horizontal="left" vertical="center"/>
    </xf>
    <xf numFmtId="0" fontId="8" fillId="6" borderId="1" xfId="0" applyFont="1" applyFill="1" applyBorder="1" applyAlignment="1">
      <alignment horizontal="center"/>
    </xf>
    <xf numFmtId="0" fontId="8" fillId="6" borderId="1" xfId="0" applyFont="1" applyFill="1" applyBorder="1" applyAlignment="1">
      <alignment horizontal="center" vertical="center"/>
    </xf>
    <xf numFmtId="0" fontId="0" fillId="3" borderId="1" xfId="0" applyFill="1" applyBorder="1" applyAlignment="1">
      <alignment horizontal="left" vertical="center" wrapText="1"/>
    </xf>
    <xf numFmtId="49" fontId="0" fillId="0" borderId="0" xfId="0" applyNumberFormat="1" applyAlignment="1">
      <alignment horizontal="left" vertical="center"/>
    </xf>
    <xf numFmtId="0" fontId="0" fillId="4" borderId="0" xfId="0" applyFill="1"/>
    <xf numFmtId="0" fontId="0" fillId="3" borderId="4" xfId="0" applyFill="1" applyBorder="1" applyAlignment="1">
      <alignment horizontal="left" vertical="center"/>
    </xf>
    <xf numFmtId="0" fontId="3" fillId="2" borderId="1" xfId="0" applyFont="1" applyFill="1" applyBorder="1"/>
    <xf numFmtId="0" fontId="0" fillId="2" borderId="1" xfId="0" applyFill="1" applyBorder="1"/>
    <xf numFmtId="0" fontId="8" fillId="5" borderId="1" xfId="0" applyFont="1" applyFill="1" applyBorder="1"/>
    <xf numFmtId="0" fontId="0" fillId="4" borderId="1" xfId="0" applyFill="1" applyBorder="1" applyAlignment="1">
      <alignment horizontal="left" vertical="center"/>
    </xf>
    <xf numFmtId="0" fontId="0" fillId="2" borderId="1" xfId="0" applyFill="1" applyBorder="1" applyAlignment="1">
      <alignment horizontal="left" vertical="center"/>
    </xf>
    <xf numFmtId="0" fontId="3" fillId="2" borderId="1" xfId="0" applyFont="1" applyFill="1" applyBorder="1" applyAlignment="1">
      <alignment horizontal="left" vertical="center"/>
    </xf>
    <xf numFmtId="0" fontId="8" fillId="5" borderId="1" xfId="0" applyFont="1" applyFill="1" applyBorder="1" applyAlignment="1">
      <alignment horizontal="left" vertical="center"/>
    </xf>
    <xf numFmtId="0" fontId="0" fillId="4" borderId="0" xfId="0" applyFill="1" applyAlignment="1">
      <alignment horizontal="center" vertical="center"/>
    </xf>
    <xf numFmtId="0" fontId="4" fillId="4" borderId="0" xfId="0" applyFont="1" applyFill="1" applyAlignment="1">
      <alignment horizontal="center" vertical="center"/>
    </xf>
    <xf numFmtId="0" fontId="7" fillId="4" borderId="0" xfId="0" applyFont="1" applyFill="1" applyAlignment="1">
      <alignment horizontal="center" vertical="center" wrapText="1"/>
    </xf>
    <xf numFmtId="0" fontId="0" fillId="0" borderId="0" xfId="0" applyAlignment="1">
      <alignment horizontal="right" vertical="center"/>
    </xf>
    <xf numFmtId="0" fontId="15" fillId="9" borderId="0" xfId="0" applyFont="1" applyFill="1" applyAlignment="1">
      <alignment vertical="center" wrapText="1"/>
    </xf>
    <xf numFmtId="0" fontId="15" fillId="0" borderId="0" xfId="0" applyFont="1" applyAlignment="1">
      <alignment vertical="center" wrapText="1"/>
    </xf>
    <xf numFmtId="0" fontId="16" fillId="0" borderId="0" xfId="0" applyFont="1"/>
    <xf numFmtId="0" fontId="0" fillId="0" borderId="0" xfId="0" applyAlignment="1">
      <alignment horizontal="center"/>
    </xf>
    <xf numFmtId="0" fontId="1" fillId="0" borderId="0" xfId="0" applyFont="1" applyAlignment="1">
      <alignment horizontal="center" vertical="center"/>
    </xf>
    <xf numFmtId="0" fontId="6" fillId="0" borderId="0" xfId="0" applyFont="1" applyAlignment="1">
      <alignment horizontal="center" vertical="center" wrapText="1"/>
    </xf>
    <xf numFmtId="0" fontId="10" fillId="0" borderId="0" xfId="0" applyFont="1" applyAlignment="1">
      <alignment horizontal="left" wrapText="1"/>
    </xf>
    <xf numFmtId="0" fontId="11" fillId="0" borderId="0" xfId="0" applyFont="1" applyAlignment="1">
      <alignment horizontal="left" wrapText="1"/>
    </xf>
    <xf numFmtId="0" fontId="0" fillId="0" borderId="2" xfId="0" applyBorder="1" applyAlignment="1">
      <alignment horizontal="center"/>
    </xf>
    <xf numFmtId="0" fontId="5" fillId="0" borderId="0" xfId="1" applyFill="1" applyBorder="1" applyAlignment="1"/>
    <xf numFmtId="0" fontId="15" fillId="7" borderId="0" xfId="0" applyFont="1" applyFill="1" applyAlignment="1">
      <alignment horizontal="right" vertical="center"/>
    </xf>
    <xf numFmtId="0" fontId="5" fillId="0" borderId="0" xfId="1" applyAlignment="1">
      <alignment horizontal="left"/>
    </xf>
    <xf numFmtId="0" fontId="12" fillId="2" borderId="3" xfId="0" applyFont="1" applyFill="1" applyBorder="1" applyAlignment="1">
      <alignment horizontal="left"/>
    </xf>
    <xf numFmtId="0" fontId="0" fillId="0" borderId="3" xfId="0" applyBorder="1" applyAlignment="1">
      <alignment horizontal="center"/>
    </xf>
    <xf numFmtId="0" fontId="8" fillId="0" borderId="5" xfId="0" applyFont="1" applyBorder="1" applyAlignment="1">
      <alignment horizontal="center"/>
    </xf>
    <xf numFmtId="0" fontId="14" fillId="3" borderId="6" xfId="0" applyFont="1" applyFill="1" applyBorder="1" applyAlignment="1">
      <alignment horizontal="left" vertical="top"/>
    </xf>
    <xf numFmtId="0" fontId="0" fillId="3" borderId="7" xfId="0" applyFill="1" applyBorder="1" applyAlignment="1">
      <alignment horizontal="left" vertical="top"/>
    </xf>
    <xf numFmtId="0" fontId="0" fillId="3" borderId="8" xfId="0" applyFill="1" applyBorder="1" applyAlignment="1">
      <alignment horizontal="left" vertical="top"/>
    </xf>
    <xf numFmtId="0" fontId="0" fillId="3" borderId="9" xfId="0" applyFill="1" applyBorder="1" applyAlignment="1">
      <alignment horizontal="left" vertical="top"/>
    </xf>
    <xf numFmtId="0" fontId="0" fillId="3" borderId="0" xfId="0" applyFill="1" applyAlignment="1">
      <alignment horizontal="left" vertical="top"/>
    </xf>
    <xf numFmtId="0" fontId="0" fillId="3" borderId="10" xfId="0" applyFill="1" applyBorder="1" applyAlignment="1">
      <alignment horizontal="left" vertical="top"/>
    </xf>
    <xf numFmtId="0" fontId="0" fillId="3" borderId="11" xfId="0" applyFill="1" applyBorder="1" applyAlignment="1">
      <alignment horizontal="left" vertical="top"/>
    </xf>
    <xf numFmtId="0" fontId="0" fillId="3" borderId="5" xfId="0" applyFill="1" applyBorder="1" applyAlignment="1">
      <alignment horizontal="left" vertical="top"/>
    </xf>
    <xf numFmtId="0" fontId="0" fillId="3" borderId="12" xfId="0" applyFill="1" applyBorder="1" applyAlignment="1">
      <alignment horizontal="left" vertical="top"/>
    </xf>
    <xf numFmtId="0" fontId="15" fillId="8" borderId="0" xfId="0" applyFont="1" applyFill="1" applyAlignment="1">
      <alignment horizontal="right" vertical="center"/>
    </xf>
  </cellXfs>
  <cellStyles count="2">
    <cellStyle name="Hyperlink" xfId="1" builtinId="8"/>
    <cellStyle name="Normal" xfId="0" builtinId="0"/>
  </cellStyles>
  <dxfs count="11">
    <dxf>
      <font>
        <b/>
        <i val="0"/>
      </font>
      <fill>
        <patternFill>
          <bgColor rgb="FFFFE1E1"/>
        </patternFill>
      </fill>
    </dxf>
    <dxf>
      <font>
        <b/>
        <i val="0"/>
      </font>
      <fill>
        <patternFill>
          <bgColor rgb="FFFFE1E1"/>
        </patternFill>
      </fill>
    </dxf>
    <dxf>
      <font>
        <b/>
        <i val="0"/>
      </font>
      <fill>
        <patternFill>
          <bgColor rgb="FFFFE1E1"/>
        </patternFill>
      </fill>
    </dxf>
    <dxf>
      <font>
        <b/>
        <i val="0"/>
      </font>
      <fill>
        <patternFill>
          <bgColor rgb="FFFFE1E1"/>
        </patternFill>
      </fill>
    </dxf>
    <dxf>
      <font>
        <b/>
        <i val="0"/>
      </font>
      <fill>
        <patternFill>
          <bgColor rgb="FFFF9696"/>
        </patternFill>
      </fill>
    </dxf>
    <dxf>
      <font>
        <b/>
        <i val="0"/>
      </font>
      <fill>
        <patternFill>
          <bgColor rgb="FFFF9696"/>
        </patternFill>
      </fill>
    </dxf>
    <dxf>
      <font>
        <b/>
        <i val="0"/>
      </font>
      <fill>
        <patternFill>
          <bgColor rgb="FFFF9696"/>
        </patternFill>
      </fill>
    </dxf>
    <dxf>
      <font>
        <b/>
        <i val="0"/>
      </font>
      <fill>
        <patternFill>
          <bgColor rgb="FFFF6464"/>
        </patternFill>
      </fill>
    </dxf>
    <dxf>
      <font>
        <b/>
        <i val="0"/>
      </font>
      <fill>
        <patternFill>
          <bgColor rgb="FFFF6464"/>
        </patternFill>
      </fill>
    </dxf>
    <dxf>
      <font>
        <b/>
        <i val="0"/>
      </font>
      <fill>
        <patternFill>
          <bgColor rgb="FFFF7171"/>
        </patternFill>
      </fill>
    </dxf>
    <dxf>
      <font>
        <b/>
        <i val="0"/>
      </font>
      <fill>
        <patternFill>
          <bgColor rgb="FF00B050"/>
        </patternFill>
      </fill>
    </dxf>
  </dxfs>
  <tableStyles count="0" defaultTableStyle="TableStyleMedium2" defaultPivotStyle="PivotStyleLight16"/>
  <colors>
    <mruColors>
      <color rgb="FFFFE1E1"/>
      <color rgb="FFFFC8C8"/>
      <color rgb="FFFF9696"/>
      <color rgb="FFFF7D7D"/>
      <color rgb="FFFF6464"/>
      <color rgb="FFC06464"/>
      <color rgb="FFFF7171"/>
      <color rgb="FFFF8B8B"/>
      <color rgb="FFFF6D6D"/>
      <color rgb="FFFF8F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532978</xdr:colOff>
      <xdr:row>0</xdr:row>
      <xdr:rowOff>96859</xdr:rowOff>
    </xdr:from>
    <xdr:to>
      <xdr:col>2</xdr:col>
      <xdr:colOff>1291984</xdr:colOff>
      <xdr:row>0</xdr:row>
      <xdr:rowOff>619124</xdr:rowOff>
    </xdr:to>
    <xdr:pic>
      <xdr:nvPicPr>
        <xdr:cNvPr id="3" name="Picture 2">
          <a:extLst>
            <a:ext uri="{FF2B5EF4-FFF2-40B4-BE49-F238E27FC236}">
              <a16:creationId xmlns:a16="http://schemas.microsoft.com/office/drawing/2014/main" id="{F0F9B3C2-7902-12AC-7F24-B326E058FBC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95078" y="96859"/>
          <a:ext cx="3145018" cy="52226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p.jhu.edu/student-services/academic-services/course-planning/" TargetMode="External"/><Relationship Id="rId2" Type="http://schemas.openxmlformats.org/officeDocument/2006/relationships/hyperlink" Target="https://e-catalogue.jhu.edu/engineering/engineering-professionals/mechanical-engineering/mechanical-engineering-master-science/" TargetMode="External"/><Relationship Id="rId1" Type="http://schemas.openxmlformats.org/officeDocument/2006/relationships/hyperlink" Target="https://ep.jhu.edu/programs/mechanical-engineering/"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ep.jhu.edu/wp-content/uploads/2020/09/scheduleplan-me.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1AED1-1929-49DA-9720-0607C450D72F}">
  <dimension ref="A1:J49"/>
  <sheetViews>
    <sheetView tabSelected="1" topLeftCell="A4" workbookViewId="0">
      <selection activeCell="B10" sqref="B10"/>
    </sheetView>
  </sheetViews>
  <sheetFormatPr defaultColWidth="8.85546875" defaultRowHeight="14.25"/>
  <cols>
    <col min="1" max="1" width="25" customWidth="1"/>
    <col min="2" max="2" width="36.85546875" customWidth="1"/>
    <col min="3" max="3" width="49" customWidth="1"/>
    <col min="4" max="4" width="8.140625" customWidth="1"/>
    <col min="5" max="5" width="13.28515625" customWidth="1"/>
    <col min="6" max="6" width="88.85546875" customWidth="1"/>
  </cols>
  <sheetData>
    <row r="1" spans="1:8" ht="53.65" customHeight="1">
      <c r="A1" s="38"/>
      <c r="B1" s="38"/>
      <c r="C1" s="38"/>
      <c r="D1" s="38"/>
      <c r="E1" s="38"/>
      <c r="F1" s="1"/>
      <c r="G1" s="1"/>
      <c r="H1" s="1"/>
    </row>
    <row r="2" spans="1:8" ht="34.15" customHeight="1">
      <c r="A2" s="39" t="s">
        <v>0</v>
      </c>
      <c r="B2" s="39"/>
      <c r="C2" s="39"/>
      <c r="D2" s="39"/>
      <c r="E2" s="39"/>
      <c r="F2" s="1"/>
      <c r="G2" s="1"/>
      <c r="H2" s="1"/>
    </row>
    <row r="3" spans="1:8" ht="18.75" customHeight="1">
      <c r="A3" s="40" t="s">
        <v>1</v>
      </c>
      <c r="B3" s="40"/>
      <c r="C3" s="40"/>
      <c r="D3" s="40"/>
      <c r="E3" s="40"/>
      <c r="F3" s="1"/>
      <c r="G3" s="1"/>
      <c r="H3" s="1"/>
    </row>
    <row r="4" spans="1:8" ht="285.75" customHeight="1">
      <c r="A4" s="41" t="s">
        <v>2</v>
      </c>
      <c r="B4" s="42"/>
      <c r="C4" s="42"/>
      <c r="D4" s="42"/>
      <c r="E4" s="42"/>
    </row>
    <row r="5" spans="1:8" ht="13.15" customHeight="1">
      <c r="A5" s="38"/>
      <c r="B5" s="38"/>
      <c r="C5" s="38"/>
      <c r="D5" s="38"/>
      <c r="E5" s="38"/>
    </row>
    <row r="6" spans="1:8" ht="25.5" customHeight="1">
      <c r="A6" s="8" t="s">
        <v>3</v>
      </c>
      <c r="B6" s="44" t="s">
        <v>4</v>
      </c>
      <c r="C6" s="44"/>
      <c r="D6" s="44"/>
      <c r="E6" s="44"/>
    </row>
    <row r="7" spans="1:8" ht="18" customHeight="1">
      <c r="A7" t="s">
        <v>5</v>
      </c>
      <c r="B7" s="46" t="s">
        <v>6</v>
      </c>
      <c r="C7" s="46"/>
      <c r="D7" s="46"/>
      <c r="E7" s="46"/>
    </row>
    <row r="8" spans="1:8" ht="17.25" customHeight="1">
      <c r="A8" t="s">
        <v>7</v>
      </c>
      <c r="B8" s="6" t="s">
        <v>8</v>
      </c>
    </row>
    <row r="9" spans="1:8" ht="24.75" customHeight="1">
      <c r="A9" s="45" t="s">
        <v>9</v>
      </c>
      <c r="B9" s="45"/>
      <c r="C9" s="45"/>
      <c r="D9" s="45"/>
      <c r="E9" s="45"/>
    </row>
    <row r="10" spans="1:8" ht="17.649999999999999" customHeight="1">
      <c r="B10" s="3" t="s">
        <v>10</v>
      </c>
      <c r="C10" s="27" t="s">
        <v>11</v>
      </c>
      <c r="D10" s="43"/>
      <c r="E10" s="38"/>
    </row>
    <row r="11" spans="1:8" ht="14.65" customHeight="1">
      <c r="A11" s="38"/>
      <c r="B11" s="38"/>
      <c r="C11" s="38"/>
      <c r="D11" s="38"/>
      <c r="E11" s="38"/>
    </row>
    <row r="12" spans="1:8" ht="23.25" customHeight="1">
      <c r="A12" s="31"/>
      <c r="B12" s="31"/>
      <c r="C12" s="32" t="s">
        <v>12</v>
      </c>
      <c r="D12" s="32" t="s">
        <v>13</v>
      </c>
      <c r="E12" s="33" t="s">
        <v>14</v>
      </c>
      <c r="F12" s="32" t="s">
        <v>15</v>
      </c>
    </row>
    <row r="13" spans="1:8">
      <c r="A13" s="24" t="s">
        <v>16</v>
      </c>
      <c r="B13" s="24" t="s">
        <v>17</v>
      </c>
      <c r="C13" s="25"/>
      <c r="D13" s="25"/>
      <c r="E13" s="26" t="s">
        <v>18</v>
      </c>
    </row>
    <row r="14" spans="1:8" ht="18" customHeight="1">
      <c r="A14" s="2" t="s">
        <v>19</v>
      </c>
      <c r="B14" s="27" t="s">
        <v>20</v>
      </c>
      <c r="C14" s="4" t="s">
        <v>21</v>
      </c>
      <c r="D14" s="5" t="s">
        <v>22</v>
      </c>
      <c r="E14" s="18" t="s">
        <v>23</v>
      </c>
    </row>
    <row r="15" spans="1:8">
      <c r="A15" s="24" t="s">
        <v>24</v>
      </c>
      <c r="B15" s="24" t="s">
        <v>25</v>
      </c>
      <c r="C15" s="25"/>
      <c r="D15" s="25"/>
      <c r="E15" s="26" t="s">
        <v>18</v>
      </c>
      <c r="F15" s="13"/>
    </row>
    <row r="16" spans="1:8" ht="18" customHeight="1">
      <c r="A16" s="15" t="s">
        <v>26</v>
      </c>
      <c r="B16" s="27" t="s">
        <v>27</v>
      </c>
      <c r="C16" s="16" t="str">
        <f>_xlfn.XLOOKUP(B16,cs!C:C,cs!D:D,"Not Found")</f>
        <v>Not Found</v>
      </c>
      <c r="D16" s="14" t="s">
        <v>22</v>
      </c>
      <c r="E16" s="19" t="s">
        <v>23</v>
      </c>
      <c r="F16" s="23" t="str">
        <f>_xlfn.XLOOKUP(B16,cs!C:C,cs!R:R,"Not Found")</f>
        <v>Not Found</v>
      </c>
    </row>
    <row r="17" spans="1:10" ht="18" customHeight="1">
      <c r="A17" s="15" t="s">
        <v>26</v>
      </c>
      <c r="B17" s="27" t="s">
        <v>28</v>
      </c>
      <c r="C17" s="20" t="str">
        <f>_xlfn.XLOOKUP(B17,cs!C:C,cs!D:D,"Not Found")</f>
        <v>Not Found</v>
      </c>
      <c r="D17" s="14" t="s">
        <v>29</v>
      </c>
      <c r="E17" s="19" t="s">
        <v>23</v>
      </c>
      <c r="F17" s="23" t="str">
        <f>_xlfn.XLOOKUP(B17,cs!C:C,cs!R:R,"Not Found")</f>
        <v>Not Found</v>
      </c>
    </row>
    <row r="18" spans="1:10" ht="18" customHeight="1">
      <c r="A18" s="15" t="s">
        <v>30</v>
      </c>
      <c r="B18" s="27" t="s">
        <v>31</v>
      </c>
      <c r="C18" s="16" t="str">
        <f>_xlfn.XLOOKUP(B18,cs!C:C,cs!D:D,"Not Found")</f>
        <v>Not Found</v>
      </c>
      <c r="D18" s="14" t="s">
        <v>32</v>
      </c>
      <c r="E18" s="19" t="s">
        <v>23</v>
      </c>
      <c r="F18" s="23" t="str" cm="1">
        <f t="array" ref="F18">_xlfn.XLOOKUP(B18,cs!C:C,cs!$R:R,"Not Found")</f>
        <v>Not Found</v>
      </c>
    </row>
    <row r="19" spans="1:10" ht="18" customHeight="1">
      <c r="A19" s="15" t="s">
        <v>30</v>
      </c>
      <c r="B19" s="27" t="s">
        <v>33</v>
      </c>
      <c r="C19" s="16" t="str">
        <f>_xlfn.XLOOKUP(B19,cs!C:C,cs!D:D,"Not Found")</f>
        <v>Not Found</v>
      </c>
      <c r="D19" s="14" t="s">
        <v>34</v>
      </c>
      <c r="E19" s="19" t="s">
        <v>23</v>
      </c>
      <c r="F19" s="23" t="str" cm="1">
        <f t="array" ref="F19">_xlfn.XLOOKUP(B19,cs!C:C,cs!$R:R,"Not Found")</f>
        <v>Not Found</v>
      </c>
    </row>
    <row r="20" spans="1:10" ht="18" customHeight="1">
      <c r="A20" s="15" t="s">
        <v>30</v>
      </c>
      <c r="B20" s="27" t="s">
        <v>35</v>
      </c>
      <c r="C20" s="16" t="str">
        <f>_xlfn.XLOOKUP(B20,cs!C:C,cs!D:D,"Not Found")</f>
        <v>Not Found</v>
      </c>
      <c r="D20" s="14" t="s">
        <v>36</v>
      </c>
      <c r="E20" s="19" t="s">
        <v>23</v>
      </c>
      <c r="F20" s="23" t="str" cm="1">
        <f t="array" ref="F20">_xlfn.XLOOKUP(B20,cs!C:C,cs!$R:R,"Not Found")</f>
        <v>Not Found</v>
      </c>
    </row>
    <row r="21" spans="1:10">
      <c r="A21" s="28" t="s">
        <v>37</v>
      </c>
      <c r="B21" s="29" t="s">
        <v>38</v>
      </c>
      <c r="C21" s="28"/>
      <c r="D21" s="28"/>
      <c r="E21" s="30" t="s">
        <v>18</v>
      </c>
      <c r="F21" s="17"/>
    </row>
    <row r="22" spans="1:10">
      <c r="A22" s="15" t="s">
        <v>39</v>
      </c>
      <c r="B22" s="27" t="s">
        <v>40</v>
      </c>
      <c r="C22" s="16" t="str">
        <f>_xlfn.XLOOKUP(B22,cs!C:C,cs!D:D,"Not Found")</f>
        <v>Not Found</v>
      </c>
      <c r="D22" s="14" t="s">
        <v>32</v>
      </c>
      <c r="E22" s="19" t="s">
        <v>23</v>
      </c>
      <c r="F22" s="23" t="str" cm="1">
        <f t="array" ref="F22">_xlfn.XLOOKUP(B22,cs!C:C,cs!$R:R,"Not Found")</f>
        <v>Not Found</v>
      </c>
    </row>
    <row r="23" spans="1:10">
      <c r="A23" s="15" t="s">
        <v>39</v>
      </c>
      <c r="B23" s="27" t="s">
        <v>41</v>
      </c>
      <c r="C23" s="16" t="str">
        <f>_xlfn.XLOOKUP(B23,cs!C:C,cs!D:D,"Not Found")</f>
        <v>Not Found</v>
      </c>
      <c r="D23" s="14" t="s">
        <v>34</v>
      </c>
      <c r="E23" s="19" t="s">
        <v>23</v>
      </c>
      <c r="F23" s="23" t="str" cm="1">
        <f t="array" ref="F23">_xlfn.XLOOKUP(B23,cs!C:C,cs!$R:R,"Not Found")</f>
        <v>Not Found</v>
      </c>
    </row>
    <row r="24" spans="1:10">
      <c r="A24" s="15" t="s">
        <v>42</v>
      </c>
      <c r="B24" s="27" t="s">
        <v>43</v>
      </c>
      <c r="C24" s="16" t="str">
        <f>_xlfn.XLOOKUP(B24,cs!C:C,cs!D:D,"Not Found")</f>
        <v>Not Found</v>
      </c>
      <c r="D24" s="14" t="s">
        <v>32</v>
      </c>
      <c r="E24" s="19" t="s">
        <v>23</v>
      </c>
      <c r="F24" s="23" t="str" cm="1">
        <f t="array" ref="F24">_xlfn.XLOOKUP(B24,cs!C:C,cs!$R:R,"Not Found")</f>
        <v>Not Found</v>
      </c>
    </row>
    <row r="25" spans="1:10">
      <c r="A25" s="15" t="s">
        <v>42</v>
      </c>
      <c r="B25" s="27" t="s">
        <v>44</v>
      </c>
      <c r="C25" s="16" t="str">
        <f>_xlfn.XLOOKUP(B25,cs!C:C,cs!D:D,"Not Found")</f>
        <v>Not Found</v>
      </c>
      <c r="D25" s="14" t="s">
        <v>32</v>
      </c>
      <c r="E25" s="19" t="s">
        <v>23</v>
      </c>
      <c r="F25" s="23" t="str" cm="1">
        <f t="array" ref="F25">_xlfn.XLOOKUP(B25,cs!C:C,cs!$R:R,"Not Found")</f>
        <v>Not Found</v>
      </c>
    </row>
    <row r="26" spans="1:10">
      <c r="A26" s="47" t="s">
        <v>45</v>
      </c>
      <c r="B26" s="47"/>
      <c r="C26" s="47"/>
      <c r="D26" s="47"/>
      <c r="E26" s="47"/>
    </row>
    <row r="27" spans="1:10" ht="30.75" customHeight="1">
      <c r="A27" s="45" t="s">
        <v>46</v>
      </c>
      <c r="B27" s="45"/>
      <c r="C27" s="45"/>
      <c r="D27" s="45"/>
      <c r="E27" s="45"/>
      <c r="F27" s="35" t="s">
        <v>47</v>
      </c>
      <c r="G27" s="36"/>
      <c r="H27" s="36"/>
      <c r="I27" s="36"/>
      <c r="J27" s="36"/>
    </row>
    <row r="28" spans="1:10">
      <c r="A28" s="59" t="str" cm="1">
        <f t="array" ref="A28">IF(MAX(COUNTIF(B14:B25, B14:B25))&gt;1, "*** ATTENTION: FOUND DUPLICATED COURSES!", "No Duplicates")</f>
        <v>No Duplicates</v>
      </c>
      <c r="B28" s="59"/>
      <c r="C28" s="59"/>
      <c r="D28" s="59"/>
      <c r="E28" s="59"/>
      <c r="F28" s="34"/>
      <c r="G28" s="34"/>
      <c r="H28" s="34"/>
      <c r="I28" s="34"/>
      <c r="J28" s="34"/>
    </row>
    <row r="29" spans="1:10">
      <c r="A29" s="9" t="s">
        <v>48</v>
      </c>
      <c r="B29" s="9"/>
      <c r="C29" s="9"/>
      <c r="D29" s="9"/>
      <c r="E29" s="9"/>
    </row>
    <row r="30" spans="1:10" ht="22.5" customHeight="1">
      <c r="A30" s="10" t="s">
        <v>49</v>
      </c>
      <c r="B30" s="10" t="s">
        <v>50</v>
      </c>
      <c r="C30" s="10" t="s">
        <v>51</v>
      </c>
      <c r="D30" s="10" t="s">
        <v>13</v>
      </c>
      <c r="E30" s="11" t="s">
        <v>14</v>
      </c>
    </row>
    <row r="31" spans="1:10">
      <c r="A31" s="12" t="s">
        <v>52</v>
      </c>
      <c r="B31" s="7"/>
      <c r="C31" s="7" t="s">
        <v>53</v>
      </c>
      <c r="D31" s="14" t="s">
        <v>32</v>
      </c>
      <c r="E31" s="19" t="s">
        <v>54</v>
      </c>
    </row>
    <row r="32" spans="1:10">
      <c r="A32" s="12" t="s">
        <v>52</v>
      </c>
      <c r="B32" s="7" t="s">
        <v>53</v>
      </c>
      <c r="C32" s="7" t="s">
        <v>53</v>
      </c>
      <c r="D32" s="14" t="s">
        <v>55</v>
      </c>
      <c r="E32" s="19" t="s">
        <v>54</v>
      </c>
    </row>
    <row r="33" spans="1:5">
      <c r="A33" s="12" t="s">
        <v>52</v>
      </c>
      <c r="B33" s="7" t="s">
        <v>53</v>
      </c>
      <c r="C33" s="7" t="s">
        <v>53</v>
      </c>
      <c r="D33" s="14" t="s">
        <v>56</v>
      </c>
      <c r="E33" s="19" t="s">
        <v>54</v>
      </c>
    </row>
    <row r="34" spans="1:5">
      <c r="A34" s="12" t="s">
        <v>52</v>
      </c>
      <c r="B34" s="7" t="s">
        <v>53</v>
      </c>
      <c r="C34" s="7" t="s">
        <v>53</v>
      </c>
      <c r="D34" s="14" t="s">
        <v>55</v>
      </c>
      <c r="E34" s="19" t="s">
        <v>54</v>
      </c>
    </row>
    <row r="35" spans="1:5">
      <c r="A35" s="12" t="s">
        <v>52</v>
      </c>
      <c r="B35" s="7" t="s">
        <v>53</v>
      </c>
      <c r="C35" s="7" t="s">
        <v>53</v>
      </c>
      <c r="D35" s="14" t="s">
        <v>55</v>
      </c>
      <c r="E35" s="19" t="s">
        <v>54</v>
      </c>
    </row>
    <row r="36" spans="1:5">
      <c r="A36" s="12" t="s">
        <v>52</v>
      </c>
      <c r="B36" s="7" t="s">
        <v>53</v>
      </c>
      <c r="C36" s="7" t="s">
        <v>53</v>
      </c>
      <c r="D36" s="14" t="s">
        <v>57</v>
      </c>
      <c r="E36" s="19" t="s">
        <v>54</v>
      </c>
    </row>
    <row r="37" spans="1:5">
      <c r="A37" s="48"/>
      <c r="B37" s="48"/>
      <c r="C37" s="48"/>
      <c r="D37" s="48"/>
      <c r="E37" s="48"/>
    </row>
    <row r="38" spans="1:5" ht="14.65" thickBot="1">
      <c r="A38" s="49"/>
      <c r="B38" s="49"/>
      <c r="C38" s="49"/>
      <c r="D38" s="49"/>
      <c r="E38" s="49"/>
    </row>
    <row r="39" spans="1:5">
      <c r="A39" s="50" t="s">
        <v>58</v>
      </c>
      <c r="B39" s="51"/>
      <c r="C39" s="51"/>
      <c r="D39" s="51"/>
      <c r="E39" s="52"/>
    </row>
    <row r="40" spans="1:5">
      <c r="A40" s="53"/>
      <c r="B40" s="54"/>
      <c r="C40" s="54"/>
      <c r="D40" s="54"/>
      <c r="E40" s="55"/>
    </row>
    <row r="41" spans="1:5">
      <c r="A41" s="53"/>
      <c r="B41" s="54"/>
      <c r="C41" s="54"/>
      <c r="D41" s="54"/>
      <c r="E41" s="55"/>
    </row>
    <row r="42" spans="1:5">
      <c r="A42" s="53"/>
      <c r="B42" s="54"/>
      <c r="C42" s="54"/>
      <c r="D42" s="54"/>
      <c r="E42" s="55"/>
    </row>
    <row r="43" spans="1:5">
      <c r="A43" s="53"/>
      <c r="B43" s="54"/>
      <c r="C43" s="54"/>
      <c r="D43" s="54"/>
      <c r="E43" s="55"/>
    </row>
    <row r="44" spans="1:5">
      <c r="A44" s="53"/>
      <c r="B44" s="54"/>
      <c r="C44" s="54"/>
      <c r="D44" s="54"/>
      <c r="E44" s="55"/>
    </row>
    <row r="45" spans="1:5">
      <c r="A45" s="53"/>
      <c r="B45" s="54"/>
      <c r="C45" s="54"/>
      <c r="D45" s="54"/>
      <c r="E45" s="55"/>
    </row>
    <row r="46" spans="1:5">
      <c r="A46" s="53"/>
      <c r="B46" s="54"/>
      <c r="C46" s="54"/>
      <c r="D46" s="54"/>
      <c r="E46" s="55"/>
    </row>
    <row r="47" spans="1:5">
      <c r="A47" s="53"/>
      <c r="B47" s="54"/>
      <c r="C47" s="54"/>
      <c r="D47" s="54"/>
      <c r="E47" s="55"/>
    </row>
    <row r="48" spans="1:5">
      <c r="A48" s="53"/>
      <c r="B48" s="54"/>
      <c r="C48" s="54"/>
      <c r="D48" s="54"/>
      <c r="E48" s="55"/>
    </row>
    <row r="49" spans="1:5" ht="14.65" thickBot="1">
      <c r="A49" s="56"/>
      <c r="B49" s="57"/>
      <c r="C49" s="57"/>
      <c r="D49" s="57"/>
      <c r="E49" s="58"/>
    </row>
  </sheetData>
  <dataConsolidate/>
  <mergeCells count="16">
    <mergeCell ref="A26:E26"/>
    <mergeCell ref="A37:E37"/>
    <mergeCell ref="A38:E38"/>
    <mergeCell ref="A39:E49"/>
    <mergeCell ref="A27:E27"/>
    <mergeCell ref="A28:E28"/>
    <mergeCell ref="D10:E10"/>
    <mergeCell ref="A11:E11"/>
    <mergeCell ref="B6:E6"/>
    <mergeCell ref="A9:E9"/>
    <mergeCell ref="B7:E7"/>
    <mergeCell ref="A1:E1"/>
    <mergeCell ref="A2:E2"/>
    <mergeCell ref="A3:E3"/>
    <mergeCell ref="A4:E4"/>
    <mergeCell ref="A5:E5"/>
  </mergeCells>
  <conditionalFormatting sqref="A28:E28">
    <cfRule type="containsText" dxfId="10" priority="1" operator="containsText" text="NO">
      <formula>NOT(ISERROR(SEARCH("NO",A28)))</formula>
    </cfRule>
  </conditionalFormatting>
  <hyperlinks>
    <hyperlink ref="B7" r:id="rId1" xr:uid="{31AF5A16-E5E4-4326-80D5-9BE093FCC2BC}"/>
    <hyperlink ref="B8" r:id="rId2" xr:uid="{5BBCEAA0-5902-4EF0-8A0F-BF626F48D005}"/>
    <hyperlink ref="B6" r:id="rId3" display=" https://ep.jhu.edu/student-services/academic-services/course-planning/ " xr:uid="{8688FB27-712A-427A-9A7F-F64E5F4398DD}"/>
    <hyperlink ref="B6:E6" r:id="rId4" display="https://ep.jhu.edu/wp-content/uploads/2020/09/scheduleplan-me.pdf" xr:uid="{6D50497D-2E71-4F89-A5C5-BC82DF374AB4}"/>
  </hyperlinks>
  <pageMargins left="0.7" right="0.7" top="0.75" bottom="0.75" header="0.3" footer="0.3"/>
  <pageSetup orientation="portrait" r:id="rId5"/>
  <drawing r:id="rId6"/>
  <extLst>
    <ext xmlns:x14="http://schemas.microsoft.com/office/spreadsheetml/2009/9/main" uri="{78C0D931-6437-407d-A8EE-F0AAD7539E65}">
      <x14:conditionalFormattings>
        <x14:conditionalFormatting xmlns:xm="http://schemas.microsoft.com/office/excel/2006/main">
          <x14:cfRule type="expression" priority="12" id="{78F0F12D-76F1-48E7-B816-1AE1FD513655}">
            <xm:f>ISNUMBER(FIND("*", 'ho2'!$A$1))</xm:f>
            <x14:dxf>
              <font>
                <b/>
                <i val="0"/>
              </font>
              <fill>
                <patternFill>
                  <bgColor rgb="FFFF7171"/>
                </patternFill>
              </fill>
            </x14:dxf>
          </x14:cfRule>
          <xm:sqref>C10</xm:sqref>
        </x14:conditionalFormatting>
        <x14:conditionalFormatting xmlns:xm="http://schemas.microsoft.com/office/excel/2006/main">
          <x14:cfRule type="expression" priority="10" id="{DF89BA9E-B4DA-403E-9FB9-CDAC33F5A394}">
            <xm:f>ISNUMBER(FIND("*", 'ho2'!$A$2))</xm:f>
            <x14:dxf>
              <font>
                <b/>
                <i val="0"/>
              </font>
              <fill>
                <patternFill>
                  <bgColor rgb="FFFF6464"/>
                </patternFill>
              </fill>
            </x14:dxf>
          </x14:cfRule>
          <xm:sqref>B16</xm:sqref>
        </x14:conditionalFormatting>
        <x14:conditionalFormatting xmlns:xm="http://schemas.microsoft.com/office/excel/2006/main">
          <x14:cfRule type="expression" priority="9" id="{52A6FE29-340A-4C2F-B8E9-AA554D4A44B4}">
            <xm:f>ISNUMBER(FIND("*", 'ho2'!$A$3))</xm:f>
            <x14:dxf>
              <font>
                <b/>
                <i val="0"/>
              </font>
              <fill>
                <patternFill>
                  <bgColor rgb="FFFF6464"/>
                </patternFill>
              </fill>
            </x14:dxf>
          </x14:cfRule>
          <xm:sqref>B17</xm:sqref>
        </x14:conditionalFormatting>
        <x14:conditionalFormatting xmlns:xm="http://schemas.microsoft.com/office/excel/2006/main">
          <x14:cfRule type="expression" priority="8" id="{536AF9CC-BDB4-41FE-9273-02328C9D0181}">
            <xm:f>ISNUMBER(FIND("*", 'ho2'!$A$4))</xm:f>
            <x14:dxf>
              <font>
                <b/>
                <i val="0"/>
              </font>
              <fill>
                <patternFill>
                  <bgColor rgb="FFFF9696"/>
                </patternFill>
              </fill>
            </x14:dxf>
          </x14:cfRule>
          <xm:sqref>B18</xm:sqref>
        </x14:conditionalFormatting>
        <x14:conditionalFormatting xmlns:xm="http://schemas.microsoft.com/office/excel/2006/main">
          <x14:cfRule type="expression" priority="7" id="{6F109650-AAD6-4995-938C-521770119120}">
            <xm:f>ISNUMBER(FIND("*", 'ho2'!$A$5))</xm:f>
            <x14:dxf>
              <font>
                <b/>
                <i val="0"/>
              </font>
              <fill>
                <patternFill>
                  <bgColor rgb="FFFF9696"/>
                </patternFill>
              </fill>
            </x14:dxf>
          </x14:cfRule>
          <xm:sqref>B19</xm:sqref>
        </x14:conditionalFormatting>
        <x14:conditionalFormatting xmlns:xm="http://schemas.microsoft.com/office/excel/2006/main">
          <x14:cfRule type="expression" priority="6" id="{CACB3FB9-260F-4D25-91C2-0F445D1A779F}">
            <xm:f>ISNUMBER(FIND("*", 'ho2'!$A$6))</xm:f>
            <x14:dxf>
              <font>
                <b/>
                <i val="0"/>
              </font>
              <fill>
                <patternFill>
                  <bgColor rgb="FFFF9696"/>
                </patternFill>
              </fill>
            </x14:dxf>
          </x14:cfRule>
          <xm:sqref>B20</xm:sqref>
        </x14:conditionalFormatting>
        <x14:conditionalFormatting xmlns:xm="http://schemas.microsoft.com/office/excel/2006/main">
          <x14:cfRule type="expression" priority="5" id="{FA6F3C98-ECEA-4ACC-AD5A-D4C01BD0521C}">
            <xm:f>ISNUMBER(FIND("*", 'ho2'!$A$7))</xm:f>
            <x14:dxf>
              <font>
                <b/>
                <i val="0"/>
              </font>
              <fill>
                <patternFill>
                  <bgColor rgb="FFFFE1E1"/>
                </patternFill>
              </fill>
            </x14:dxf>
          </x14:cfRule>
          <xm:sqref>B22</xm:sqref>
        </x14:conditionalFormatting>
        <x14:conditionalFormatting xmlns:xm="http://schemas.microsoft.com/office/excel/2006/main">
          <x14:cfRule type="expression" priority="4" id="{C8F0DFF0-9517-4077-8084-482035CEDDD3}">
            <xm:f>ISNUMBER(FIND("*", 'ho2'!$A$8))</xm:f>
            <x14:dxf>
              <font>
                <b/>
                <i val="0"/>
              </font>
              <fill>
                <patternFill>
                  <bgColor rgb="FFFFE1E1"/>
                </patternFill>
              </fill>
            </x14:dxf>
          </x14:cfRule>
          <xm:sqref>B23</xm:sqref>
        </x14:conditionalFormatting>
        <x14:conditionalFormatting xmlns:xm="http://schemas.microsoft.com/office/excel/2006/main">
          <x14:cfRule type="expression" priority="3" id="{9E156A96-F4BA-452E-93CD-75A68FCAD795}">
            <xm:f>ISNUMBER(FIND("*", 'ho2'!$A$9))</xm:f>
            <x14:dxf>
              <font>
                <b/>
                <i val="0"/>
              </font>
              <fill>
                <patternFill>
                  <bgColor rgb="FFFFE1E1"/>
                </patternFill>
              </fill>
            </x14:dxf>
          </x14:cfRule>
          <xm:sqref>B24</xm:sqref>
        </x14:conditionalFormatting>
        <x14:conditionalFormatting xmlns:xm="http://schemas.microsoft.com/office/excel/2006/main">
          <x14:cfRule type="expression" priority="2" id="{D0EA7BBF-F933-484A-A699-FC59754CEF9D}">
            <xm:f>ISNUMBER(FIND("*", 'ho2'!$A$10))</xm:f>
            <x14:dxf>
              <font>
                <b/>
                <i val="0"/>
              </font>
              <fill>
                <patternFill>
                  <bgColor rgb="FFFFE1E1"/>
                </patternFill>
              </fill>
            </x14:dxf>
          </x14:cfRule>
          <xm:sqref>B25</xm:sqref>
        </x14:conditionalFormatting>
      </x14:conditionalFormattings>
    </ext>
    <ext xmlns:x14="http://schemas.microsoft.com/office/spreadsheetml/2009/9/main" uri="{CCE6A557-97BC-4b89-ADB6-D9C93CAAB3DF}">
      <x14:dataValidations xmlns:xm="http://schemas.microsoft.com/office/excel/2006/main" count="13">
        <x14:dataValidation type="list" allowBlank="1" showInputMessage="1" showErrorMessage="1" error="Select from the list only! " prompt="Select from the list" xr:uid="{AEDAFDCD-CD93-4827-A0CA-E9301FC44FF1}">
          <x14:formula1>
            <xm:f>inf!$B$1:$B$93</xm:f>
          </x14:formula1>
          <xm:sqref>D31:D36 D16:D20 D22:D25 D14</xm:sqref>
        </x14:dataValidation>
        <x14:dataValidation type="list" allowBlank="1" showInputMessage="1" showErrorMessage="1" prompt="Select YES or NO" xr:uid="{8C1CAE1B-606C-4371-B8A7-594C2D05DC28}">
          <x14:formula1>
            <xm:f>inf!$C$1:$C$2</xm:f>
          </x14:formula1>
          <xm:sqref>E22:E25 E16:E20 E31:E36</xm:sqref>
        </x14:dataValidation>
        <x14:dataValidation type="list" allowBlank="1" showInputMessage="1" showErrorMessage="1" error="Select from the list only! " prompt="Select YES or NO" xr:uid="{8B2B72AD-2B2C-4380-A630-5C4011253631}">
          <x14:formula1>
            <xm:f>inf!$C$1:$C$2</xm:f>
          </x14:formula1>
          <xm:sqref>E14</xm:sqref>
        </x14:dataValidation>
        <x14:dataValidation type="list" allowBlank="1" showInputMessage="1" showErrorMessage="1" error="Select from the list only! " xr:uid="{104017CE-EFD1-453F-BB9E-F1E6F529FB1D}">
          <x14:formula1>
            <xm:f>_xlfn.ANCHORARRAY('hp1'!$B$1)</xm:f>
          </x14:formula1>
          <xm:sqref>B16</xm:sqref>
        </x14:dataValidation>
        <x14:dataValidation type="list" allowBlank="1" showInputMessage="1" showErrorMessage="1" error="Select from the list only! " prompt="Select your concentration/focus " xr:uid="{2556309F-D6CF-454D-9A38-9987F51341CF}">
          <x14:formula1>
            <xm:f>inf!$A$1:$A$13</xm:f>
          </x14:formula1>
          <xm:sqref>C10</xm:sqref>
        </x14:dataValidation>
        <x14:dataValidation type="list" allowBlank="1" showInputMessage="1" showErrorMessage="1" error="Select from the list only! " xr:uid="{257A801F-3161-412C-B861-22CAA64A0B8D}">
          <x14:formula1>
            <xm:f>_xlfn.ANCHORARRAY('hp1'!$D$1)</xm:f>
          </x14:formula1>
          <xm:sqref>B17</xm:sqref>
        </x14:dataValidation>
        <x14:dataValidation type="list" allowBlank="1" showInputMessage="1" showErrorMessage="1" xr:uid="{3D820D75-A423-4DDE-ABE2-A42A3224935E}">
          <x14:formula1>
            <xm:f>_xlfn.ANCHORARRAY('hp1'!$F$1)</xm:f>
          </x14:formula1>
          <xm:sqref>B18</xm:sqref>
        </x14:dataValidation>
        <x14:dataValidation type="list" allowBlank="1" showInputMessage="1" showErrorMessage="1" xr:uid="{CC3BD36D-9108-4E43-B4E2-67688D6BA721}">
          <x14:formula1>
            <xm:f>_xlfn.ANCHORARRAY('hp1'!$H$1)</xm:f>
          </x14:formula1>
          <xm:sqref>B19</xm:sqref>
        </x14:dataValidation>
        <x14:dataValidation type="list" allowBlank="1" showInputMessage="1" showErrorMessage="1" xr:uid="{CE618649-1BED-431F-A5E9-6FCDEA645D32}">
          <x14:formula1>
            <xm:f>_xlfn.ANCHORARRAY('hp1'!$J$1)</xm:f>
          </x14:formula1>
          <xm:sqref>B20</xm:sqref>
        </x14:dataValidation>
        <x14:dataValidation type="list" allowBlank="1" showInputMessage="1" showErrorMessage="1" xr:uid="{B12E8F60-516A-4CB2-8AE4-16077580DDF9}">
          <x14:formula1>
            <xm:f>_xlfn.ANCHORARRAY('hp1'!$L$1)</xm:f>
          </x14:formula1>
          <xm:sqref>B22</xm:sqref>
        </x14:dataValidation>
        <x14:dataValidation type="list" allowBlank="1" showInputMessage="1" showErrorMessage="1" xr:uid="{4EB69A09-EFEE-4453-BA71-2DBD4BC454CC}">
          <x14:formula1>
            <xm:f>_xlfn.ANCHORARRAY('hp1'!$N$1)</xm:f>
          </x14:formula1>
          <xm:sqref>B23</xm:sqref>
        </x14:dataValidation>
        <x14:dataValidation type="list" allowBlank="1" showInputMessage="1" showErrorMessage="1" xr:uid="{AEA5C23B-A337-4669-9D9B-5E2027CC1FA0}">
          <x14:formula1>
            <xm:f>_xlfn.ANCHORARRAY('hp1'!$P$1)</xm:f>
          </x14:formula1>
          <xm:sqref>B24</xm:sqref>
        </x14:dataValidation>
        <x14:dataValidation type="list" allowBlank="1" showInputMessage="1" showErrorMessage="1" xr:uid="{88527F1A-3C2A-4B47-9D4D-ED05811B588E}">
          <x14:formula1>
            <xm:f>_xlfn.ANCHORARRAY('hp1'!$R$1)</xm:f>
          </x14:formula1>
          <xm:sqref>B25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25B6A-8E26-46FA-8718-10D7C6B46DFF}">
  <dimension ref="A1:Q935"/>
  <sheetViews>
    <sheetView workbookViewId="0">
      <selection activeCell="A5" sqref="A5:XFD5"/>
    </sheetView>
  </sheetViews>
  <sheetFormatPr defaultRowHeight="14.25"/>
  <cols>
    <col min="1" max="1" width="3.7109375" bestFit="1" customWidth="1"/>
    <col min="2" max="2" width="35.5703125" bestFit="1" customWidth="1"/>
    <col min="3" max="3" width="13" bestFit="1" customWidth="1"/>
    <col min="4" max="4" width="80" bestFit="1" customWidth="1"/>
    <col min="5" max="5" width="12" bestFit="1" customWidth="1"/>
    <col min="6" max="16" width="46.7109375" bestFit="1" customWidth="1"/>
    <col min="17" max="17" width="62.140625" customWidth="1"/>
  </cols>
  <sheetData>
    <row r="1" spans="1:17" ht="15">
      <c r="B1" s="37" t="s">
        <v>59</v>
      </c>
      <c r="C1" s="37" t="s">
        <v>50</v>
      </c>
      <c r="D1" s="37" t="s">
        <v>60</v>
      </c>
      <c r="E1" s="37" t="s">
        <v>61</v>
      </c>
      <c r="F1" s="37" t="s">
        <v>62</v>
      </c>
      <c r="G1" s="37" t="s">
        <v>63</v>
      </c>
      <c r="H1" s="37" t="s">
        <v>64</v>
      </c>
      <c r="I1" s="37" t="s">
        <v>65</v>
      </c>
      <c r="J1" s="37" t="s">
        <v>66</v>
      </c>
      <c r="K1" s="37" t="s">
        <v>67</v>
      </c>
      <c r="L1" s="37" t="s">
        <v>68</v>
      </c>
      <c r="M1" s="37" t="s">
        <v>69</v>
      </c>
      <c r="N1" s="37" t="s">
        <v>70</v>
      </c>
      <c r="O1" s="37" t="s">
        <v>71</v>
      </c>
      <c r="P1" s="37" t="s">
        <v>72</v>
      </c>
      <c r="Q1" s="37" t="s">
        <v>73</v>
      </c>
    </row>
    <row r="2" spans="1:17" ht="15">
      <c r="A2">
        <v>0</v>
      </c>
      <c r="B2" s="37" t="s">
        <v>74</v>
      </c>
      <c r="C2" s="37" t="s">
        <v>75</v>
      </c>
      <c r="D2" s="37" t="s">
        <v>76</v>
      </c>
      <c r="E2" s="37">
        <v>3</v>
      </c>
      <c r="F2" s="37" t="s">
        <v>77</v>
      </c>
      <c r="G2" s="37" t="s">
        <v>77</v>
      </c>
      <c r="H2" s="37" t="s">
        <v>77</v>
      </c>
      <c r="I2" s="37" t="s">
        <v>77</v>
      </c>
      <c r="J2" s="37" t="s">
        <v>77</v>
      </c>
      <c r="K2" s="37" t="s">
        <v>77</v>
      </c>
      <c r="L2" s="37" t="s">
        <v>77</v>
      </c>
      <c r="M2" s="37" t="s">
        <v>77</v>
      </c>
      <c r="N2" s="37" t="s">
        <v>77</v>
      </c>
      <c r="O2" s="37" t="s">
        <v>77</v>
      </c>
      <c r="P2" s="37" t="s">
        <v>78</v>
      </c>
      <c r="Q2" s="37" t="s">
        <v>79</v>
      </c>
    </row>
    <row r="3" spans="1:17" ht="15">
      <c r="A3">
        <v>1</v>
      </c>
      <c r="B3" s="37" t="s">
        <v>74</v>
      </c>
      <c r="C3" s="37" t="s">
        <v>80</v>
      </c>
      <c r="D3" s="37" t="s">
        <v>81</v>
      </c>
      <c r="E3" s="37">
        <v>3</v>
      </c>
      <c r="F3" s="37" t="s">
        <v>77</v>
      </c>
      <c r="G3" s="37" t="s">
        <v>77</v>
      </c>
      <c r="H3" s="37" t="s">
        <v>77</v>
      </c>
      <c r="I3" s="37" t="s">
        <v>82</v>
      </c>
      <c r="J3" s="37" t="s">
        <v>78</v>
      </c>
      <c r="K3" s="37" t="s">
        <v>77</v>
      </c>
      <c r="L3" s="37" t="s">
        <v>77</v>
      </c>
      <c r="M3" s="37" t="s">
        <v>77</v>
      </c>
      <c r="N3" s="37" t="s">
        <v>82</v>
      </c>
      <c r="O3" s="37" t="s">
        <v>82</v>
      </c>
      <c r="P3" s="37" t="s">
        <v>77</v>
      </c>
      <c r="Q3" s="37" t="s">
        <v>83</v>
      </c>
    </row>
    <row r="4" spans="1:17" ht="15">
      <c r="A4">
        <v>2</v>
      </c>
      <c r="B4" s="37" t="s">
        <v>74</v>
      </c>
      <c r="C4" s="37" t="s">
        <v>84</v>
      </c>
      <c r="D4" s="37" t="s">
        <v>85</v>
      </c>
      <c r="E4" s="37">
        <v>3</v>
      </c>
      <c r="F4" s="37" t="s">
        <v>77</v>
      </c>
      <c r="G4" s="37" t="s">
        <v>77</v>
      </c>
      <c r="H4" s="37" t="s">
        <v>77</v>
      </c>
      <c r="I4" s="37" t="s">
        <v>82</v>
      </c>
      <c r="J4" s="37" t="s">
        <v>78</v>
      </c>
      <c r="K4" s="37" t="s">
        <v>77</v>
      </c>
      <c r="L4" s="37" t="s">
        <v>77</v>
      </c>
      <c r="M4" s="37" t="s">
        <v>77</v>
      </c>
      <c r="N4" s="37" t="s">
        <v>82</v>
      </c>
      <c r="O4" s="37" t="s">
        <v>78</v>
      </c>
      <c r="P4" s="37" t="s">
        <v>77</v>
      </c>
      <c r="Q4" s="37" t="s">
        <v>86</v>
      </c>
    </row>
    <row r="5" spans="1:17" ht="15">
      <c r="A5">
        <v>3</v>
      </c>
      <c r="B5" s="37" t="s">
        <v>74</v>
      </c>
      <c r="C5" s="37" t="s">
        <v>87</v>
      </c>
      <c r="D5" s="37" t="s">
        <v>88</v>
      </c>
      <c r="E5" s="37">
        <v>3</v>
      </c>
      <c r="F5" s="37" t="s">
        <v>77</v>
      </c>
      <c r="G5" s="37" t="s">
        <v>82</v>
      </c>
      <c r="H5" s="37" t="s">
        <v>82</v>
      </c>
      <c r="I5" s="37" t="s">
        <v>78</v>
      </c>
      <c r="J5" s="37" t="s">
        <v>82</v>
      </c>
      <c r="K5" s="37" t="s">
        <v>77</v>
      </c>
      <c r="L5" s="37" t="s">
        <v>77</v>
      </c>
      <c r="M5" s="37" t="s">
        <v>82</v>
      </c>
      <c r="N5" s="37" t="s">
        <v>77</v>
      </c>
      <c r="O5" s="37" t="s">
        <v>77</v>
      </c>
      <c r="P5" s="37" t="s">
        <v>77</v>
      </c>
      <c r="Q5" s="37" t="s">
        <v>89</v>
      </c>
    </row>
    <row r="6" spans="1:17" ht="15">
      <c r="A6">
        <v>4</v>
      </c>
      <c r="B6" s="37" t="s">
        <v>74</v>
      </c>
      <c r="C6" s="37" t="s">
        <v>90</v>
      </c>
      <c r="D6" s="37" t="s">
        <v>91</v>
      </c>
      <c r="E6" s="37">
        <v>3</v>
      </c>
      <c r="F6" s="37" t="s">
        <v>92</v>
      </c>
      <c r="G6" s="37" t="s">
        <v>92</v>
      </c>
      <c r="H6" s="37" t="s">
        <v>92</v>
      </c>
      <c r="I6" s="37" t="s">
        <v>92</v>
      </c>
      <c r="J6" s="37" t="s">
        <v>92</v>
      </c>
      <c r="K6" s="37" t="s">
        <v>92</v>
      </c>
      <c r="L6" s="37" t="s">
        <v>92</v>
      </c>
      <c r="M6" s="37" t="s">
        <v>92</v>
      </c>
      <c r="N6" s="37" t="s">
        <v>92</v>
      </c>
      <c r="O6" s="37" t="s">
        <v>92</v>
      </c>
      <c r="P6" s="37" t="s">
        <v>92</v>
      </c>
      <c r="Q6" s="37" t="s">
        <v>93</v>
      </c>
    </row>
    <row r="7" spans="1:17" ht="15">
      <c r="A7">
        <v>5</v>
      </c>
      <c r="B7" s="37" t="s">
        <v>74</v>
      </c>
      <c r="C7" s="37" t="s">
        <v>94</v>
      </c>
      <c r="D7" s="37" t="s">
        <v>95</v>
      </c>
      <c r="E7" s="37">
        <v>3</v>
      </c>
      <c r="F7" s="37" t="s">
        <v>77</v>
      </c>
      <c r="G7" s="37" t="s">
        <v>77</v>
      </c>
      <c r="H7" s="37" t="s">
        <v>78</v>
      </c>
      <c r="I7" s="37" t="s">
        <v>78</v>
      </c>
      <c r="J7" s="37" t="s">
        <v>77</v>
      </c>
      <c r="K7" s="37" t="s">
        <v>77</v>
      </c>
      <c r="L7" s="37" t="s">
        <v>77</v>
      </c>
      <c r="M7" s="37" t="s">
        <v>77</v>
      </c>
      <c r="N7" s="37" t="s">
        <v>78</v>
      </c>
      <c r="O7" s="37" t="s">
        <v>77</v>
      </c>
      <c r="P7" s="37" t="s">
        <v>78</v>
      </c>
      <c r="Q7" s="37" t="s">
        <v>96</v>
      </c>
    </row>
    <row r="8" spans="1:17" ht="15">
      <c r="A8">
        <v>6</v>
      </c>
      <c r="B8" s="37" t="s">
        <v>74</v>
      </c>
      <c r="C8" s="37" t="s">
        <v>97</v>
      </c>
      <c r="D8" s="37" t="s">
        <v>98</v>
      </c>
      <c r="E8" s="37">
        <v>3</v>
      </c>
      <c r="F8" s="37" t="s">
        <v>77</v>
      </c>
      <c r="G8" s="37" t="s">
        <v>77</v>
      </c>
      <c r="H8" s="37" t="s">
        <v>77</v>
      </c>
      <c r="I8" s="37" t="s">
        <v>77</v>
      </c>
      <c r="J8" s="37" t="s">
        <v>77</v>
      </c>
      <c r="K8" s="37" t="s">
        <v>77</v>
      </c>
      <c r="L8" s="37" t="s">
        <v>77</v>
      </c>
      <c r="M8" s="37" t="s">
        <v>77</v>
      </c>
      <c r="N8" s="37" t="s">
        <v>77</v>
      </c>
      <c r="O8" s="37" t="s">
        <v>77</v>
      </c>
      <c r="P8" s="37" t="s">
        <v>77</v>
      </c>
      <c r="Q8" s="37" t="s">
        <v>99</v>
      </c>
    </row>
    <row r="9" spans="1:17" ht="15">
      <c r="A9">
        <v>7</v>
      </c>
      <c r="B9" s="37" t="s">
        <v>74</v>
      </c>
      <c r="C9" s="37" t="s">
        <v>100</v>
      </c>
      <c r="D9" s="37" t="s">
        <v>101</v>
      </c>
      <c r="E9" s="37">
        <v>3</v>
      </c>
      <c r="F9" s="37" t="s">
        <v>77</v>
      </c>
      <c r="G9" s="37" t="s">
        <v>77</v>
      </c>
      <c r="H9" s="37" t="s">
        <v>77</v>
      </c>
      <c r="I9" s="37" t="s">
        <v>77</v>
      </c>
      <c r="J9" s="37" t="s">
        <v>77</v>
      </c>
      <c r="K9" s="37" t="s">
        <v>77</v>
      </c>
      <c r="L9" s="37" t="s">
        <v>78</v>
      </c>
      <c r="M9" s="37" t="s">
        <v>77</v>
      </c>
      <c r="N9" s="37" t="s">
        <v>77</v>
      </c>
      <c r="O9" s="37" t="s">
        <v>78</v>
      </c>
      <c r="P9" s="37" t="s">
        <v>77</v>
      </c>
      <c r="Q9" s="37" t="s">
        <v>102</v>
      </c>
    </row>
    <row r="10" spans="1:17" ht="15">
      <c r="A10">
        <v>8</v>
      </c>
      <c r="B10" s="37" t="s">
        <v>74</v>
      </c>
      <c r="C10" s="37" t="s">
        <v>103</v>
      </c>
      <c r="D10" s="37" t="s">
        <v>104</v>
      </c>
      <c r="E10" s="37">
        <v>3</v>
      </c>
      <c r="F10" s="37" t="s">
        <v>78</v>
      </c>
      <c r="G10" s="37" t="s">
        <v>77</v>
      </c>
      <c r="H10" s="37" t="s">
        <v>77</v>
      </c>
      <c r="I10" s="37" t="s">
        <v>77</v>
      </c>
      <c r="J10" s="37" t="s">
        <v>77</v>
      </c>
      <c r="K10" s="37" t="s">
        <v>77</v>
      </c>
      <c r="L10" s="37" t="s">
        <v>77</v>
      </c>
      <c r="M10" s="37" t="s">
        <v>77</v>
      </c>
      <c r="N10" s="37" t="s">
        <v>78</v>
      </c>
      <c r="O10" s="37" t="s">
        <v>77</v>
      </c>
      <c r="P10" s="37" t="s">
        <v>77</v>
      </c>
      <c r="Q10" s="37" t="s">
        <v>105</v>
      </c>
    </row>
    <row r="11" spans="1:17" ht="15">
      <c r="A11">
        <v>9</v>
      </c>
      <c r="B11" s="37" t="s">
        <v>74</v>
      </c>
      <c r="C11" s="37" t="s">
        <v>106</v>
      </c>
      <c r="D11" s="37" t="s">
        <v>107</v>
      </c>
      <c r="E11" s="37">
        <v>3</v>
      </c>
      <c r="F11" s="37" t="s">
        <v>77</v>
      </c>
      <c r="G11" s="37" t="s">
        <v>82</v>
      </c>
      <c r="H11" s="37" t="s">
        <v>77</v>
      </c>
      <c r="I11" s="37" t="s">
        <v>77</v>
      </c>
      <c r="J11" s="37" t="s">
        <v>77</v>
      </c>
      <c r="K11" s="37" t="s">
        <v>77</v>
      </c>
      <c r="L11" s="37" t="s">
        <v>82</v>
      </c>
      <c r="M11" s="37" t="s">
        <v>77</v>
      </c>
      <c r="N11" s="37" t="s">
        <v>77</v>
      </c>
      <c r="O11" s="37" t="s">
        <v>82</v>
      </c>
      <c r="P11" s="37" t="s">
        <v>77</v>
      </c>
      <c r="Q11" s="37" t="s">
        <v>108</v>
      </c>
    </row>
    <row r="12" spans="1:17" ht="15">
      <c r="A12">
        <v>10</v>
      </c>
      <c r="B12" s="37" t="s">
        <v>74</v>
      </c>
      <c r="C12" s="37" t="s">
        <v>109</v>
      </c>
      <c r="D12" s="37" t="s">
        <v>110</v>
      </c>
      <c r="E12" s="37">
        <v>3</v>
      </c>
      <c r="F12" s="37" t="s">
        <v>77</v>
      </c>
      <c r="G12" s="37" t="s">
        <v>77</v>
      </c>
      <c r="H12" s="37" t="s">
        <v>77</v>
      </c>
      <c r="I12" s="37" t="s">
        <v>77</v>
      </c>
      <c r="J12" s="37" t="s">
        <v>77</v>
      </c>
      <c r="K12" s="37" t="s">
        <v>77</v>
      </c>
      <c r="L12" s="37" t="s">
        <v>77</v>
      </c>
      <c r="M12" s="37" t="s">
        <v>77</v>
      </c>
      <c r="N12" s="37" t="s">
        <v>77</v>
      </c>
      <c r="O12" s="37" t="s">
        <v>77</v>
      </c>
      <c r="P12" s="37" t="s">
        <v>77</v>
      </c>
      <c r="Q12" s="37" t="s">
        <v>111</v>
      </c>
    </row>
    <row r="13" spans="1:17" ht="15">
      <c r="A13">
        <v>11</v>
      </c>
      <c r="B13" s="37" t="s">
        <v>74</v>
      </c>
      <c r="C13" s="37" t="s">
        <v>112</v>
      </c>
      <c r="D13" s="37" t="s">
        <v>113</v>
      </c>
      <c r="E13" s="37">
        <v>3</v>
      </c>
      <c r="F13" s="37" t="s">
        <v>77</v>
      </c>
      <c r="G13" s="37" t="s">
        <v>77</v>
      </c>
      <c r="H13" s="37" t="s">
        <v>77</v>
      </c>
      <c r="I13" s="37" t="s">
        <v>77</v>
      </c>
      <c r="J13" s="37" t="s">
        <v>77</v>
      </c>
      <c r="K13" s="37" t="s">
        <v>77</v>
      </c>
      <c r="L13" s="37" t="s">
        <v>77</v>
      </c>
      <c r="M13" s="37" t="s">
        <v>77</v>
      </c>
      <c r="N13" s="37" t="s">
        <v>77</v>
      </c>
      <c r="O13" s="37" t="s">
        <v>77</v>
      </c>
      <c r="P13" s="37" t="s">
        <v>78</v>
      </c>
      <c r="Q13" s="37" t="s">
        <v>114</v>
      </c>
    </row>
    <row r="14" spans="1:17" ht="15">
      <c r="A14">
        <v>12</v>
      </c>
      <c r="B14" s="37" t="s">
        <v>74</v>
      </c>
      <c r="C14" s="37" t="s">
        <v>115</v>
      </c>
      <c r="D14" s="37" t="s">
        <v>116</v>
      </c>
      <c r="E14" s="37">
        <v>3</v>
      </c>
      <c r="F14" s="37" t="s">
        <v>77</v>
      </c>
      <c r="G14" s="37" t="s">
        <v>78</v>
      </c>
      <c r="H14" s="37" t="s">
        <v>78</v>
      </c>
      <c r="I14" s="37" t="s">
        <v>78</v>
      </c>
      <c r="J14" s="37" t="s">
        <v>77</v>
      </c>
      <c r="K14" s="37" t="s">
        <v>77</v>
      </c>
      <c r="L14" s="37" t="s">
        <v>77</v>
      </c>
      <c r="M14" s="37" t="s">
        <v>77</v>
      </c>
      <c r="N14" s="37" t="s">
        <v>82</v>
      </c>
      <c r="O14" s="37" t="s">
        <v>77</v>
      </c>
      <c r="P14" s="37" t="s">
        <v>78</v>
      </c>
      <c r="Q14" s="37" t="s">
        <v>117</v>
      </c>
    </row>
    <row r="15" spans="1:17" ht="15">
      <c r="A15">
        <v>13</v>
      </c>
      <c r="B15" s="37" t="s">
        <v>74</v>
      </c>
      <c r="C15" s="37" t="s">
        <v>118</v>
      </c>
      <c r="D15" s="37" t="s">
        <v>119</v>
      </c>
      <c r="E15" s="37">
        <v>3</v>
      </c>
      <c r="F15" s="37" t="s">
        <v>77</v>
      </c>
      <c r="G15" s="37" t="s">
        <v>78</v>
      </c>
      <c r="H15" s="37" t="s">
        <v>77</v>
      </c>
      <c r="I15" s="37" t="s">
        <v>77</v>
      </c>
      <c r="J15" s="37" t="s">
        <v>77</v>
      </c>
      <c r="K15" s="37" t="s">
        <v>77</v>
      </c>
      <c r="L15" s="37" t="s">
        <v>78</v>
      </c>
      <c r="M15" s="37" t="s">
        <v>77</v>
      </c>
      <c r="N15" s="37" t="s">
        <v>77</v>
      </c>
      <c r="O15" s="37" t="s">
        <v>78</v>
      </c>
      <c r="P15" s="37" t="s">
        <v>77</v>
      </c>
      <c r="Q15" s="37" t="s">
        <v>120</v>
      </c>
    </row>
    <row r="16" spans="1:17" ht="15">
      <c r="A16">
        <v>14</v>
      </c>
      <c r="B16" s="37" t="s">
        <v>74</v>
      </c>
      <c r="C16" s="37" t="s">
        <v>121</v>
      </c>
      <c r="D16" s="37" t="s">
        <v>122</v>
      </c>
      <c r="E16" s="37">
        <v>3</v>
      </c>
      <c r="F16" s="37" t="s">
        <v>77</v>
      </c>
      <c r="G16" s="37" t="s">
        <v>82</v>
      </c>
      <c r="H16" s="37" t="s">
        <v>82</v>
      </c>
      <c r="I16" s="37" t="s">
        <v>77</v>
      </c>
      <c r="J16" s="37" t="s">
        <v>82</v>
      </c>
      <c r="K16" s="37" t="s">
        <v>77</v>
      </c>
      <c r="L16" s="37" t="s">
        <v>78</v>
      </c>
      <c r="M16" s="37" t="s">
        <v>78</v>
      </c>
      <c r="N16" s="37" t="s">
        <v>77</v>
      </c>
      <c r="O16" s="37" t="s">
        <v>77</v>
      </c>
      <c r="P16" s="37" t="s">
        <v>77</v>
      </c>
      <c r="Q16" s="37" t="s">
        <v>123</v>
      </c>
    </row>
    <row r="17" spans="1:17" ht="15">
      <c r="A17">
        <v>15</v>
      </c>
      <c r="B17" s="37" t="s">
        <v>74</v>
      </c>
      <c r="C17" s="37" t="s">
        <v>124</v>
      </c>
      <c r="D17" s="37" t="s">
        <v>125</v>
      </c>
      <c r="E17" s="37">
        <v>3</v>
      </c>
      <c r="F17" s="37" t="s">
        <v>78</v>
      </c>
      <c r="G17" s="37" t="s">
        <v>77</v>
      </c>
      <c r="H17" s="37" t="s">
        <v>77</v>
      </c>
      <c r="I17" s="37" t="s">
        <v>78</v>
      </c>
      <c r="J17" s="37" t="s">
        <v>78</v>
      </c>
      <c r="K17" s="37" t="s">
        <v>77</v>
      </c>
      <c r="L17" s="37" t="s">
        <v>77</v>
      </c>
      <c r="M17" s="37" t="s">
        <v>78</v>
      </c>
      <c r="N17" s="37" t="s">
        <v>78</v>
      </c>
      <c r="O17" s="37" t="s">
        <v>78</v>
      </c>
      <c r="P17" s="37" t="s">
        <v>78</v>
      </c>
      <c r="Q17" s="37" t="s">
        <v>126</v>
      </c>
    </row>
    <row r="18" spans="1:17" ht="15">
      <c r="A18">
        <v>16</v>
      </c>
      <c r="B18" s="37" t="s">
        <v>74</v>
      </c>
      <c r="C18" s="37" t="s">
        <v>127</v>
      </c>
      <c r="D18" s="37" t="s">
        <v>128</v>
      </c>
      <c r="E18" s="37">
        <v>3</v>
      </c>
      <c r="F18" s="37" t="s">
        <v>82</v>
      </c>
      <c r="G18" s="37" t="s">
        <v>77</v>
      </c>
      <c r="H18" s="37" t="s">
        <v>77</v>
      </c>
      <c r="I18" s="37" t="s">
        <v>78</v>
      </c>
      <c r="J18" s="37" t="s">
        <v>78</v>
      </c>
      <c r="K18" s="37" t="s">
        <v>77</v>
      </c>
      <c r="L18" s="37" t="s">
        <v>77</v>
      </c>
      <c r="M18" s="37" t="s">
        <v>77</v>
      </c>
      <c r="N18" s="37" t="s">
        <v>77</v>
      </c>
      <c r="O18" s="37" t="s">
        <v>77</v>
      </c>
      <c r="P18" s="37" t="s">
        <v>78</v>
      </c>
      <c r="Q18" s="37" t="s">
        <v>129</v>
      </c>
    </row>
    <row r="19" spans="1:17" ht="15">
      <c r="A19">
        <v>17</v>
      </c>
      <c r="B19" s="37" t="s">
        <v>74</v>
      </c>
      <c r="C19" s="37" t="s">
        <v>130</v>
      </c>
      <c r="D19" s="37" t="s">
        <v>131</v>
      </c>
      <c r="E19" s="37">
        <v>3</v>
      </c>
      <c r="F19" s="37" t="s">
        <v>77</v>
      </c>
      <c r="G19" s="37" t="s">
        <v>77</v>
      </c>
      <c r="H19" s="37" t="s">
        <v>77</v>
      </c>
      <c r="I19" s="37" t="s">
        <v>77</v>
      </c>
      <c r="J19" s="37" t="s">
        <v>77</v>
      </c>
      <c r="K19" s="37" t="s">
        <v>77</v>
      </c>
      <c r="L19" s="37" t="s">
        <v>77</v>
      </c>
      <c r="M19" s="37" t="s">
        <v>77</v>
      </c>
      <c r="N19" s="37" t="s">
        <v>77</v>
      </c>
      <c r="O19" s="37" t="s">
        <v>77</v>
      </c>
      <c r="P19" s="37" t="s">
        <v>82</v>
      </c>
      <c r="Q19" s="37" t="s">
        <v>132</v>
      </c>
    </row>
    <row r="20" spans="1:17" ht="15">
      <c r="A20">
        <v>18</v>
      </c>
      <c r="B20" s="37" t="s">
        <v>74</v>
      </c>
      <c r="C20" s="37" t="s">
        <v>133</v>
      </c>
      <c r="D20" s="37" t="s">
        <v>134</v>
      </c>
      <c r="E20" s="37">
        <v>3</v>
      </c>
      <c r="F20" s="37" t="s">
        <v>77</v>
      </c>
      <c r="G20" s="37" t="s">
        <v>77</v>
      </c>
      <c r="H20" s="37" t="s">
        <v>77</v>
      </c>
      <c r="I20" s="37" t="s">
        <v>82</v>
      </c>
      <c r="J20" s="37" t="s">
        <v>78</v>
      </c>
      <c r="K20" s="37" t="s">
        <v>77</v>
      </c>
      <c r="L20" s="37" t="s">
        <v>77</v>
      </c>
      <c r="M20" s="37" t="s">
        <v>77</v>
      </c>
      <c r="N20" s="37" t="s">
        <v>82</v>
      </c>
      <c r="O20" s="37" t="s">
        <v>78</v>
      </c>
      <c r="P20" s="37" t="s">
        <v>77</v>
      </c>
      <c r="Q20" s="37" t="s">
        <v>135</v>
      </c>
    </row>
    <row r="21" spans="1:17" ht="15">
      <c r="A21">
        <v>19</v>
      </c>
      <c r="B21" s="37" t="s">
        <v>74</v>
      </c>
      <c r="C21" s="37" t="s">
        <v>136</v>
      </c>
      <c r="D21" s="37" t="s">
        <v>137</v>
      </c>
      <c r="E21" s="37">
        <v>3</v>
      </c>
      <c r="F21" s="37" t="s">
        <v>77</v>
      </c>
      <c r="G21" s="37" t="s">
        <v>77</v>
      </c>
      <c r="H21" s="37" t="s">
        <v>77</v>
      </c>
      <c r="I21" s="37" t="s">
        <v>77</v>
      </c>
      <c r="J21" s="37" t="s">
        <v>77</v>
      </c>
      <c r="K21" s="37" t="s">
        <v>77</v>
      </c>
      <c r="L21" s="37" t="s">
        <v>82</v>
      </c>
      <c r="M21" s="37" t="s">
        <v>78</v>
      </c>
      <c r="N21" s="37" t="s">
        <v>77</v>
      </c>
      <c r="O21" s="37" t="s">
        <v>77</v>
      </c>
      <c r="P21" s="37" t="s">
        <v>77</v>
      </c>
      <c r="Q21" s="37" t="s">
        <v>138</v>
      </c>
    </row>
    <row r="22" spans="1:17" ht="15">
      <c r="A22">
        <v>20</v>
      </c>
      <c r="B22" s="37" t="s">
        <v>74</v>
      </c>
      <c r="C22" s="37" t="s">
        <v>139</v>
      </c>
      <c r="D22" s="37" t="s">
        <v>140</v>
      </c>
      <c r="E22" s="37">
        <v>3</v>
      </c>
      <c r="F22" s="37" t="s">
        <v>77</v>
      </c>
      <c r="G22" s="37" t="s">
        <v>77</v>
      </c>
      <c r="H22" s="37" t="s">
        <v>77</v>
      </c>
      <c r="I22" s="37" t="s">
        <v>77</v>
      </c>
      <c r="J22" s="37" t="s">
        <v>77</v>
      </c>
      <c r="K22" s="37" t="s">
        <v>77</v>
      </c>
      <c r="L22" s="37" t="s">
        <v>78</v>
      </c>
      <c r="M22" s="37" t="s">
        <v>78</v>
      </c>
      <c r="N22" s="37" t="s">
        <v>77</v>
      </c>
      <c r="O22" s="37" t="s">
        <v>77</v>
      </c>
      <c r="P22" s="37" t="s">
        <v>77</v>
      </c>
      <c r="Q22" s="37" t="s">
        <v>141</v>
      </c>
    </row>
    <row r="23" spans="1:17" ht="15">
      <c r="A23">
        <v>21</v>
      </c>
      <c r="B23" s="37" t="s">
        <v>74</v>
      </c>
      <c r="C23" s="37" t="s">
        <v>142</v>
      </c>
      <c r="D23" s="37" t="s">
        <v>143</v>
      </c>
      <c r="E23" s="37">
        <v>3</v>
      </c>
      <c r="F23" s="37" t="s">
        <v>77</v>
      </c>
      <c r="G23" s="37" t="s">
        <v>77</v>
      </c>
      <c r="H23" s="37" t="s">
        <v>77</v>
      </c>
      <c r="I23" s="37" t="s">
        <v>77</v>
      </c>
      <c r="J23" s="37" t="s">
        <v>77</v>
      </c>
      <c r="K23" s="37" t="s">
        <v>77</v>
      </c>
      <c r="L23" s="37" t="s">
        <v>77</v>
      </c>
      <c r="M23" s="37" t="s">
        <v>77</v>
      </c>
      <c r="N23" s="37" t="s">
        <v>77</v>
      </c>
      <c r="O23" s="37" t="s">
        <v>77</v>
      </c>
      <c r="P23" s="37" t="s">
        <v>78</v>
      </c>
      <c r="Q23" s="37" t="s">
        <v>144</v>
      </c>
    </row>
    <row r="24" spans="1:17" ht="15">
      <c r="A24">
        <v>22</v>
      </c>
      <c r="B24" s="37" t="s">
        <v>74</v>
      </c>
      <c r="C24" s="37" t="s">
        <v>145</v>
      </c>
      <c r="D24" s="37" t="s">
        <v>146</v>
      </c>
      <c r="E24" s="37">
        <v>3</v>
      </c>
      <c r="F24" s="37" t="s">
        <v>78</v>
      </c>
      <c r="G24" s="37" t="s">
        <v>77</v>
      </c>
      <c r="H24" s="37" t="s">
        <v>77</v>
      </c>
      <c r="I24" s="37" t="s">
        <v>77</v>
      </c>
      <c r="J24" s="37" t="s">
        <v>77</v>
      </c>
      <c r="K24" s="37" t="s">
        <v>77</v>
      </c>
      <c r="L24" s="37" t="s">
        <v>77</v>
      </c>
      <c r="M24" s="37" t="s">
        <v>77</v>
      </c>
      <c r="N24" s="37" t="s">
        <v>77</v>
      </c>
      <c r="O24" s="37" t="s">
        <v>77</v>
      </c>
      <c r="P24" s="37" t="s">
        <v>78</v>
      </c>
      <c r="Q24" s="37" t="s">
        <v>147</v>
      </c>
    </row>
    <row r="25" spans="1:17" ht="15">
      <c r="A25">
        <v>23</v>
      </c>
      <c r="B25" s="37" t="s">
        <v>74</v>
      </c>
      <c r="C25" s="37" t="s">
        <v>148</v>
      </c>
      <c r="D25" s="37" t="s">
        <v>149</v>
      </c>
      <c r="E25" s="37">
        <v>3</v>
      </c>
      <c r="F25" s="37" t="s">
        <v>77</v>
      </c>
      <c r="G25" s="37" t="s">
        <v>78</v>
      </c>
      <c r="H25" s="37" t="s">
        <v>77</v>
      </c>
      <c r="I25" s="37" t="s">
        <v>78</v>
      </c>
      <c r="J25" s="37" t="s">
        <v>77</v>
      </c>
      <c r="K25" s="37" t="s">
        <v>77</v>
      </c>
      <c r="L25" s="37" t="s">
        <v>77</v>
      </c>
      <c r="M25" s="37" t="s">
        <v>77</v>
      </c>
      <c r="N25" s="37" t="s">
        <v>77</v>
      </c>
      <c r="O25" s="37" t="s">
        <v>77</v>
      </c>
      <c r="P25" s="37" t="s">
        <v>77</v>
      </c>
      <c r="Q25" s="37" t="s">
        <v>150</v>
      </c>
    </row>
    <row r="26" spans="1:17" ht="15">
      <c r="A26">
        <v>24</v>
      </c>
      <c r="B26" s="37" t="s">
        <v>74</v>
      </c>
      <c r="C26" s="37" t="s">
        <v>20</v>
      </c>
      <c r="D26" s="37" t="s">
        <v>151</v>
      </c>
      <c r="E26" s="37">
        <v>3</v>
      </c>
      <c r="F26" s="37" t="s">
        <v>152</v>
      </c>
      <c r="G26" s="37" t="s">
        <v>152</v>
      </c>
      <c r="H26" s="37" t="s">
        <v>152</v>
      </c>
      <c r="I26" s="37" t="s">
        <v>152</v>
      </c>
      <c r="J26" s="37" t="s">
        <v>152</v>
      </c>
      <c r="K26" s="37" t="s">
        <v>152</v>
      </c>
      <c r="L26" s="37" t="s">
        <v>152</v>
      </c>
      <c r="M26" s="37" t="s">
        <v>152</v>
      </c>
      <c r="N26" s="37" t="s">
        <v>152</v>
      </c>
      <c r="O26" s="37" t="s">
        <v>152</v>
      </c>
      <c r="P26" s="37" t="s">
        <v>152</v>
      </c>
      <c r="Q26" s="37" t="s">
        <v>153</v>
      </c>
    </row>
    <row r="27" spans="1:17" ht="15">
      <c r="A27">
        <v>25</v>
      </c>
      <c r="B27" s="37" t="s">
        <v>74</v>
      </c>
      <c r="C27" s="37" t="s">
        <v>154</v>
      </c>
      <c r="D27" s="37" t="s">
        <v>155</v>
      </c>
      <c r="E27" s="37">
        <v>3</v>
      </c>
      <c r="F27" s="37" t="s">
        <v>82</v>
      </c>
      <c r="G27" s="37" t="s">
        <v>77</v>
      </c>
      <c r="H27" s="37" t="s">
        <v>78</v>
      </c>
      <c r="I27" s="37" t="s">
        <v>77</v>
      </c>
      <c r="J27" s="37" t="s">
        <v>77</v>
      </c>
      <c r="K27" s="37" t="s">
        <v>77</v>
      </c>
      <c r="L27" s="37" t="s">
        <v>77</v>
      </c>
      <c r="M27" s="37" t="s">
        <v>77</v>
      </c>
      <c r="N27" s="37" t="s">
        <v>77</v>
      </c>
      <c r="O27" s="37" t="s">
        <v>77</v>
      </c>
      <c r="P27" s="37" t="s">
        <v>82</v>
      </c>
      <c r="Q27" s="37" t="s">
        <v>156</v>
      </c>
    </row>
    <row r="28" spans="1:17" ht="15">
      <c r="A28">
        <v>26</v>
      </c>
      <c r="B28" s="37" t="s">
        <v>74</v>
      </c>
      <c r="C28" s="37" t="s">
        <v>157</v>
      </c>
      <c r="D28" s="37" t="s">
        <v>158</v>
      </c>
      <c r="E28" s="37">
        <v>3</v>
      </c>
      <c r="F28" s="37" t="s">
        <v>77</v>
      </c>
      <c r="G28" s="37" t="s">
        <v>77</v>
      </c>
      <c r="H28" s="37" t="s">
        <v>77</v>
      </c>
      <c r="I28" s="37" t="s">
        <v>78</v>
      </c>
      <c r="J28" s="37" t="s">
        <v>77</v>
      </c>
      <c r="K28" s="37" t="s">
        <v>77</v>
      </c>
      <c r="L28" s="37" t="s">
        <v>77</v>
      </c>
      <c r="M28" s="37" t="s">
        <v>77</v>
      </c>
      <c r="N28" s="37" t="s">
        <v>78</v>
      </c>
      <c r="O28" s="37" t="s">
        <v>77</v>
      </c>
      <c r="P28" s="37" t="s">
        <v>77</v>
      </c>
      <c r="Q28" s="37" t="s">
        <v>159</v>
      </c>
    </row>
    <row r="29" spans="1:17" ht="15">
      <c r="A29">
        <v>27</v>
      </c>
      <c r="B29" s="37" t="s">
        <v>74</v>
      </c>
      <c r="C29" s="37" t="s">
        <v>160</v>
      </c>
      <c r="D29" s="37" t="s">
        <v>161</v>
      </c>
      <c r="E29" s="37">
        <v>3</v>
      </c>
      <c r="F29" s="37" t="s">
        <v>77</v>
      </c>
      <c r="G29" s="37" t="s">
        <v>77</v>
      </c>
      <c r="H29" s="37" t="s">
        <v>77</v>
      </c>
      <c r="I29" s="37" t="s">
        <v>77</v>
      </c>
      <c r="J29" s="37" t="s">
        <v>77</v>
      </c>
      <c r="K29" s="37" t="s">
        <v>77</v>
      </c>
      <c r="L29" s="37" t="s">
        <v>77</v>
      </c>
      <c r="M29" s="37" t="s">
        <v>77</v>
      </c>
      <c r="N29" s="37" t="s">
        <v>77</v>
      </c>
      <c r="O29" s="37" t="s">
        <v>77</v>
      </c>
      <c r="P29" s="37" t="s">
        <v>77</v>
      </c>
      <c r="Q29" s="37" t="s">
        <v>162</v>
      </c>
    </row>
    <row r="30" spans="1:17" ht="15">
      <c r="A30">
        <v>28</v>
      </c>
      <c r="B30" s="37" t="s">
        <v>74</v>
      </c>
      <c r="C30" s="37" t="s">
        <v>163</v>
      </c>
      <c r="D30" s="37" t="s">
        <v>164</v>
      </c>
      <c r="E30" s="37">
        <v>3</v>
      </c>
      <c r="F30" s="37" t="s">
        <v>77</v>
      </c>
      <c r="G30" s="37" t="s">
        <v>77</v>
      </c>
      <c r="H30" s="37" t="s">
        <v>77</v>
      </c>
      <c r="I30" s="37" t="s">
        <v>77</v>
      </c>
      <c r="J30" s="37" t="s">
        <v>77</v>
      </c>
      <c r="K30" s="37" t="s">
        <v>77</v>
      </c>
      <c r="L30" s="37" t="s">
        <v>77</v>
      </c>
      <c r="M30" s="37" t="s">
        <v>77</v>
      </c>
      <c r="N30" s="37" t="s">
        <v>77</v>
      </c>
      <c r="O30" s="37" t="s">
        <v>77</v>
      </c>
      <c r="P30" s="37" t="s">
        <v>78</v>
      </c>
      <c r="Q30" s="37" t="s">
        <v>165</v>
      </c>
    </row>
    <row r="31" spans="1:17" ht="15">
      <c r="A31">
        <v>29</v>
      </c>
      <c r="B31" s="37" t="s">
        <v>74</v>
      </c>
      <c r="C31" s="37" t="s">
        <v>166</v>
      </c>
      <c r="D31" s="37" t="s">
        <v>167</v>
      </c>
      <c r="E31" s="37">
        <v>3</v>
      </c>
      <c r="F31" s="37" t="s">
        <v>77</v>
      </c>
      <c r="G31" s="37" t="s">
        <v>78</v>
      </c>
      <c r="H31" s="37" t="s">
        <v>77</v>
      </c>
      <c r="I31" s="37" t="s">
        <v>78</v>
      </c>
      <c r="J31" s="37" t="s">
        <v>78</v>
      </c>
      <c r="K31" s="37" t="s">
        <v>77</v>
      </c>
      <c r="L31" s="37" t="s">
        <v>78</v>
      </c>
      <c r="M31" s="37" t="s">
        <v>77</v>
      </c>
      <c r="N31" s="37" t="s">
        <v>77</v>
      </c>
      <c r="O31" s="37" t="s">
        <v>77</v>
      </c>
      <c r="P31" s="37" t="s">
        <v>77</v>
      </c>
      <c r="Q31" s="37" t="s">
        <v>168</v>
      </c>
    </row>
    <row r="32" spans="1:17" ht="15">
      <c r="A32">
        <v>30</v>
      </c>
      <c r="B32" s="37" t="s">
        <v>74</v>
      </c>
      <c r="C32" s="37" t="s">
        <v>169</v>
      </c>
      <c r="D32" s="37" t="s">
        <v>170</v>
      </c>
      <c r="E32" s="37">
        <v>3</v>
      </c>
      <c r="F32" s="37" t="s">
        <v>82</v>
      </c>
      <c r="G32" s="37" t="s">
        <v>77</v>
      </c>
      <c r="H32" s="37" t="s">
        <v>77</v>
      </c>
      <c r="I32" s="37" t="s">
        <v>77</v>
      </c>
      <c r="J32" s="37" t="s">
        <v>77</v>
      </c>
      <c r="K32" s="37" t="s">
        <v>77</v>
      </c>
      <c r="L32" s="37" t="s">
        <v>77</v>
      </c>
      <c r="M32" s="37" t="s">
        <v>77</v>
      </c>
      <c r="N32" s="37" t="s">
        <v>77</v>
      </c>
      <c r="O32" s="37" t="s">
        <v>77</v>
      </c>
      <c r="P32" s="37" t="s">
        <v>78</v>
      </c>
      <c r="Q32" s="37" t="s">
        <v>171</v>
      </c>
    </row>
    <row r="33" spans="1:17" ht="15">
      <c r="A33">
        <v>31</v>
      </c>
      <c r="B33" s="37" t="s">
        <v>74</v>
      </c>
      <c r="C33" s="37" t="s">
        <v>172</v>
      </c>
      <c r="D33" s="37" t="s">
        <v>173</v>
      </c>
      <c r="E33" s="37">
        <v>3</v>
      </c>
      <c r="F33" s="37" t="s">
        <v>82</v>
      </c>
      <c r="G33" s="37" t="s">
        <v>77</v>
      </c>
      <c r="H33" s="37" t="s">
        <v>77</v>
      </c>
      <c r="I33" s="37" t="s">
        <v>78</v>
      </c>
      <c r="J33" s="37" t="s">
        <v>78</v>
      </c>
      <c r="K33" s="37" t="s">
        <v>77</v>
      </c>
      <c r="L33" s="37" t="s">
        <v>77</v>
      </c>
      <c r="M33" s="37" t="s">
        <v>77</v>
      </c>
      <c r="N33" s="37" t="s">
        <v>78</v>
      </c>
      <c r="O33" s="37" t="s">
        <v>77</v>
      </c>
      <c r="P33" s="37" t="s">
        <v>78</v>
      </c>
      <c r="Q33" s="37" t="s">
        <v>174</v>
      </c>
    </row>
    <row r="34" spans="1:17" ht="15">
      <c r="A34">
        <v>32</v>
      </c>
      <c r="B34" s="37" t="s">
        <v>74</v>
      </c>
      <c r="C34" s="37" t="s">
        <v>175</v>
      </c>
      <c r="D34" s="37" t="s">
        <v>176</v>
      </c>
      <c r="E34" s="37">
        <v>3</v>
      </c>
      <c r="F34" s="37" t="s">
        <v>77</v>
      </c>
      <c r="G34" s="37" t="s">
        <v>77</v>
      </c>
      <c r="H34" s="37" t="s">
        <v>77</v>
      </c>
      <c r="I34" s="37" t="s">
        <v>77</v>
      </c>
      <c r="J34" s="37" t="s">
        <v>77</v>
      </c>
      <c r="K34" s="37" t="s">
        <v>82</v>
      </c>
      <c r="L34" s="37" t="s">
        <v>78</v>
      </c>
      <c r="M34" s="37" t="s">
        <v>77</v>
      </c>
      <c r="N34" s="37" t="s">
        <v>77</v>
      </c>
      <c r="O34" s="37" t="s">
        <v>77</v>
      </c>
      <c r="P34" s="37" t="s">
        <v>77</v>
      </c>
      <c r="Q34" s="37" t="s">
        <v>177</v>
      </c>
    </row>
    <row r="35" spans="1:17" ht="15">
      <c r="A35">
        <v>33</v>
      </c>
      <c r="B35" s="37" t="s">
        <v>74</v>
      </c>
      <c r="C35" s="37" t="s">
        <v>178</v>
      </c>
      <c r="D35" s="37" t="s">
        <v>179</v>
      </c>
      <c r="E35" s="37">
        <v>3</v>
      </c>
      <c r="F35" s="37" t="s">
        <v>77</v>
      </c>
      <c r="G35" s="37" t="s">
        <v>77</v>
      </c>
      <c r="H35" s="37" t="s">
        <v>77</v>
      </c>
      <c r="I35" s="37" t="s">
        <v>77</v>
      </c>
      <c r="J35" s="37" t="s">
        <v>77</v>
      </c>
      <c r="K35" s="37" t="s">
        <v>77</v>
      </c>
      <c r="L35" s="37" t="s">
        <v>78</v>
      </c>
      <c r="M35" s="37" t="s">
        <v>77</v>
      </c>
      <c r="N35" s="37" t="s">
        <v>77</v>
      </c>
      <c r="O35" s="37" t="s">
        <v>77</v>
      </c>
      <c r="P35" s="37" t="s">
        <v>77</v>
      </c>
      <c r="Q35" s="37" t="s">
        <v>180</v>
      </c>
    </row>
    <row r="36" spans="1:17" ht="15">
      <c r="A36">
        <v>34</v>
      </c>
      <c r="B36" s="37" t="s">
        <v>74</v>
      </c>
      <c r="C36" s="37" t="s">
        <v>181</v>
      </c>
      <c r="D36" s="37" t="s">
        <v>182</v>
      </c>
      <c r="E36" s="37">
        <v>3</v>
      </c>
      <c r="F36" s="37" t="s">
        <v>77</v>
      </c>
      <c r="G36" s="37" t="s">
        <v>77</v>
      </c>
      <c r="H36" s="37" t="s">
        <v>77</v>
      </c>
      <c r="I36" s="37" t="s">
        <v>77</v>
      </c>
      <c r="J36" s="37" t="s">
        <v>77</v>
      </c>
      <c r="K36" s="37" t="s">
        <v>82</v>
      </c>
      <c r="L36" s="37" t="s">
        <v>77</v>
      </c>
      <c r="M36" s="37" t="s">
        <v>77</v>
      </c>
      <c r="N36" s="37" t="s">
        <v>78</v>
      </c>
      <c r="O36" s="37" t="s">
        <v>77</v>
      </c>
      <c r="P36" s="37" t="s">
        <v>77</v>
      </c>
      <c r="Q36" s="37" t="s">
        <v>183</v>
      </c>
    </row>
    <row r="37" spans="1:17" ht="15">
      <c r="A37">
        <v>35</v>
      </c>
      <c r="B37" s="37" t="s">
        <v>74</v>
      </c>
      <c r="C37" s="37" t="s">
        <v>184</v>
      </c>
      <c r="D37" s="37" t="s">
        <v>185</v>
      </c>
      <c r="E37" s="37">
        <v>3</v>
      </c>
      <c r="F37" s="37" t="s">
        <v>77</v>
      </c>
      <c r="G37" s="37" t="s">
        <v>77</v>
      </c>
      <c r="H37" s="37" t="s">
        <v>77</v>
      </c>
      <c r="I37" s="37" t="s">
        <v>77</v>
      </c>
      <c r="J37" s="37" t="s">
        <v>77</v>
      </c>
      <c r="K37" s="37" t="s">
        <v>78</v>
      </c>
      <c r="L37" s="37" t="s">
        <v>78</v>
      </c>
      <c r="M37" s="37" t="s">
        <v>77</v>
      </c>
      <c r="N37" s="37" t="s">
        <v>77</v>
      </c>
      <c r="O37" s="37" t="s">
        <v>77</v>
      </c>
      <c r="P37" s="37" t="s">
        <v>77</v>
      </c>
      <c r="Q37" s="37" t="s">
        <v>186</v>
      </c>
    </row>
    <row r="38" spans="1:17" ht="15">
      <c r="A38">
        <v>36</v>
      </c>
      <c r="B38" s="37" t="s">
        <v>74</v>
      </c>
      <c r="C38" s="37" t="s">
        <v>187</v>
      </c>
      <c r="D38" s="37" t="s">
        <v>188</v>
      </c>
      <c r="E38" s="37">
        <v>3</v>
      </c>
      <c r="F38" s="37" t="s">
        <v>77</v>
      </c>
      <c r="G38" s="37" t="s">
        <v>77</v>
      </c>
      <c r="H38" s="37" t="s">
        <v>77</v>
      </c>
      <c r="I38" s="37" t="s">
        <v>77</v>
      </c>
      <c r="J38" s="37" t="s">
        <v>77</v>
      </c>
      <c r="K38" s="37" t="s">
        <v>78</v>
      </c>
      <c r="L38" s="37" t="s">
        <v>77</v>
      </c>
      <c r="M38" s="37" t="s">
        <v>77</v>
      </c>
      <c r="N38" s="37" t="s">
        <v>77</v>
      </c>
      <c r="O38" s="37" t="s">
        <v>77</v>
      </c>
      <c r="P38" s="37" t="s">
        <v>77</v>
      </c>
      <c r="Q38" s="37" t="s">
        <v>189</v>
      </c>
    </row>
    <row r="39" spans="1:17" ht="15">
      <c r="A39">
        <v>37</v>
      </c>
      <c r="B39" s="37" t="s">
        <v>74</v>
      </c>
      <c r="C39" s="37" t="s">
        <v>190</v>
      </c>
      <c r="D39" s="37" t="s">
        <v>191</v>
      </c>
      <c r="E39" s="37">
        <v>3</v>
      </c>
      <c r="F39" s="37" t="s">
        <v>77</v>
      </c>
      <c r="G39" s="37" t="s">
        <v>82</v>
      </c>
      <c r="H39" s="37" t="s">
        <v>78</v>
      </c>
      <c r="I39" s="37" t="s">
        <v>77</v>
      </c>
      <c r="J39" s="37" t="s">
        <v>78</v>
      </c>
      <c r="K39" s="37" t="s">
        <v>77</v>
      </c>
      <c r="L39" s="37" t="s">
        <v>78</v>
      </c>
      <c r="M39" s="37" t="s">
        <v>78</v>
      </c>
      <c r="N39" s="37" t="s">
        <v>77</v>
      </c>
      <c r="O39" s="37" t="s">
        <v>77</v>
      </c>
      <c r="P39" s="37" t="s">
        <v>77</v>
      </c>
      <c r="Q39" s="37" t="s">
        <v>192</v>
      </c>
    </row>
    <row r="40" spans="1:17" ht="15">
      <c r="A40">
        <v>38</v>
      </c>
      <c r="B40" s="37" t="s">
        <v>74</v>
      </c>
      <c r="C40" s="37" t="s">
        <v>193</v>
      </c>
      <c r="D40" s="37" t="s">
        <v>194</v>
      </c>
      <c r="E40" s="37">
        <v>3</v>
      </c>
      <c r="F40" s="37" t="s">
        <v>78</v>
      </c>
      <c r="G40" s="37" t="s">
        <v>78</v>
      </c>
      <c r="H40" s="37" t="s">
        <v>77</v>
      </c>
      <c r="I40" s="37" t="s">
        <v>82</v>
      </c>
      <c r="J40" s="37" t="s">
        <v>82</v>
      </c>
      <c r="K40" s="37" t="s">
        <v>77</v>
      </c>
      <c r="L40" s="37" t="s">
        <v>77</v>
      </c>
      <c r="M40" s="37" t="s">
        <v>78</v>
      </c>
      <c r="N40" s="37" t="s">
        <v>78</v>
      </c>
      <c r="O40" s="37" t="s">
        <v>77</v>
      </c>
      <c r="P40" s="37" t="s">
        <v>77</v>
      </c>
      <c r="Q40" s="37" t="s">
        <v>195</v>
      </c>
    </row>
    <row r="41" spans="1:17" ht="15">
      <c r="A41">
        <v>39</v>
      </c>
      <c r="B41" s="37" t="s">
        <v>74</v>
      </c>
      <c r="C41" s="37" t="s">
        <v>196</v>
      </c>
      <c r="D41" s="37" t="s">
        <v>197</v>
      </c>
      <c r="E41" s="37">
        <v>3</v>
      </c>
      <c r="F41" s="37" t="s">
        <v>78</v>
      </c>
      <c r="G41" s="37" t="s">
        <v>77</v>
      </c>
      <c r="H41" s="37" t="s">
        <v>77</v>
      </c>
      <c r="I41" s="37" t="s">
        <v>77</v>
      </c>
      <c r="J41" s="37" t="s">
        <v>77</v>
      </c>
      <c r="K41" s="37" t="s">
        <v>77</v>
      </c>
      <c r="L41" s="37" t="s">
        <v>77</v>
      </c>
      <c r="M41" s="37" t="s">
        <v>77</v>
      </c>
      <c r="N41" s="37" t="s">
        <v>77</v>
      </c>
      <c r="O41" s="37" t="s">
        <v>77</v>
      </c>
      <c r="P41" s="37" t="s">
        <v>77</v>
      </c>
      <c r="Q41" s="37" t="s">
        <v>198</v>
      </c>
    </row>
    <row r="42" spans="1:17" ht="15">
      <c r="A42">
        <v>40</v>
      </c>
      <c r="B42" s="37" t="s">
        <v>74</v>
      </c>
      <c r="C42" s="37" t="s">
        <v>199</v>
      </c>
      <c r="D42" s="37" t="s">
        <v>200</v>
      </c>
      <c r="E42" s="37">
        <v>3</v>
      </c>
      <c r="F42" s="37" t="s">
        <v>82</v>
      </c>
      <c r="G42" s="37" t="s">
        <v>77</v>
      </c>
      <c r="H42" s="37" t="s">
        <v>77</v>
      </c>
      <c r="I42" s="37" t="s">
        <v>77</v>
      </c>
      <c r="J42" s="37" t="s">
        <v>77</v>
      </c>
      <c r="K42" s="37" t="s">
        <v>77</v>
      </c>
      <c r="L42" s="37" t="s">
        <v>77</v>
      </c>
      <c r="M42" s="37" t="s">
        <v>77</v>
      </c>
      <c r="N42" s="37" t="s">
        <v>77</v>
      </c>
      <c r="O42" s="37" t="s">
        <v>77</v>
      </c>
      <c r="P42" s="37" t="s">
        <v>78</v>
      </c>
      <c r="Q42" s="37" t="s">
        <v>201</v>
      </c>
    </row>
    <row r="43" spans="1:17" ht="15">
      <c r="A43">
        <v>41</v>
      </c>
      <c r="B43" s="37" t="s">
        <v>74</v>
      </c>
      <c r="C43" s="37" t="s">
        <v>202</v>
      </c>
      <c r="D43" s="37" t="s">
        <v>203</v>
      </c>
      <c r="E43" s="37">
        <v>3</v>
      </c>
      <c r="F43" s="37" t="s">
        <v>82</v>
      </c>
      <c r="G43" s="37" t="s">
        <v>77</v>
      </c>
      <c r="H43" s="37" t="s">
        <v>77</v>
      </c>
      <c r="I43" s="37" t="s">
        <v>77</v>
      </c>
      <c r="J43" s="37" t="s">
        <v>77</v>
      </c>
      <c r="K43" s="37" t="s">
        <v>77</v>
      </c>
      <c r="L43" s="37" t="s">
        <v>77</v>
      </c>
      <c r="M43" s="37" t="s">
        <v>77</v>
      </c>
      <c r="N43" s="37" t="s">
        <v>78</v>
      </c>
      <c r="O43" s="37" t="s">
        <v>77</v>
      </c>
      <c r="P43" s="37" t="s">
        <v>77</v>
      </c>
      <c r="Q43" s="37" t="s">
        <v>204</v>
      </c>
    </row>
    <row r="44" spans="1:17" ht="15">
      <c r="A44">
        <v>42</v>
      </c>
      <c r="B44" s="37" t="s">
        <v>74</v>
      </c>
      <c r="C44" s="37" t="s">
        <v>205</v>
      </c>
      <c r="D44" s="37" t="s">
        <v>206</v>
      </c>
      <c r="E44" s="37">
        <v>3</v>
      </c>
      <c r="F44" s="37" t="s">
        <v>92</v>
      </c>
      <c r="G44" s="37" t="s">
        <v>92</v>
      </c>
      <c r="H44" s="37" t="s">
        <v>92</v>
      </c>
      <c r="I44" s="37" t="s">
        <v>92</v>
      </c>
      <c r="J44" s="37" t="s">
        <v>92</v>
      </c>
      <c r="K44" s="37" t="s">
        <v>92</v>
      </c>
      <c r="L44" s="37" t="s">
        <v>92</v>
      </c>
      <c r="M44" s="37" t="s">
        <v>92</v>
      </c>
      <c r="N44" s="37" t="s">
        <v>92</v>
      </c>
      <c r="O44" s="37" t="s">
        <v>92</v>
      </c>
      <c r="P44" s="37" t="s">
        <v>92</v>
      </c>
      <c r="Q44" s="37" t="s">
        <v>207</v>
      </c>
    </row>
    <row r="45" spans="1:17" ht="15">
      <c r="A45">
        <v>43</v>
      </c>
      <c r="B45" s="37" t="s">
        <v>74</v>
      </c>
      <c r="C45" s="37" t="s">
        <v>208</v>
      </c>
      <c r="D45" s="37" t="s">
        <v>209</v>
      </c>
      <c r="E45" s="37">
        <v>3</v>
      </c>
      <c r="F45" s="37" t="s">
        <v>78</v>
      </c>
      <c r="G45" s="37" t="s">
        <v>77</v>
      </c>
      <c r="H45" s="37" t="s">
        <v>77</v>
      </c>
      <c r="I45" s="37" t="s">
        <v>78</v>
      </c>
      <c r="J45" s="37" t="s">
        <v>77</v>
      </c>
      <c r="K45" s="37" t="s">
        <v>77</v>
      </c>
      <c r="L45" s="37" t="s">
        <v>77</v>
      </c>
      <c r="M45" s="37" t="s">
        <v>77</v>
      </c>
      <c r="N45" s="37" t="s">
        <v>78</v>
      </c>
      <c r="O45" s="37" t="s">
        <v>77</v>
      </c>
      <c r="P45" s="37" t="s">
        <v>77</v>
      </c>
      <c r="Q45" s="37" t="s">
        <v>210</v>
      </c>
    </row>
    <row r="46" spans="1:17" ht="15">
      <c r="A46">
        <v>44</v>
      </c>
      <c r="B46" s="37" t="s">
        <v>74</v>
      </c>
      <c r="C46" s="37" t="s">
        <v>211</v>
      </c>
      <c r="D46" s="37" t="s">
        <v>212</v>
      </c>
      <c r="E46" s="37">
        <v>3</v>
      </c>
      <c r="F46" s="37" t="s">
        <v>77</v>
      </c>
      <c r="G46" s="37" t="s">
        <v>77</v>
      </c>
      <c r="H46" s="37" t="s">
        <v>77</v>
      </c>
      <c r="I46" s="37" t="s">
        <v>77</v>
      </c>
      <c r="J46" s="37" t="s">
        <v>77</v>
      </c>
      <c r="K46" s="37" t="s">
        <v>78</v>
      </c>
      <c r="L46" s="37" t="s">
        <v>77</v>
      </c>
      <c r="M46" s="37" t="s">
        <v>77</v>
      </c>
      <c r="N46" s="37" t="s">
        <v>77</v>
      </c>
      <c r="O46" s="37" t="s">
        <v>77</v>
      </c>
      <c r="P46" s="37" t="s">
        <v>78</v>
      </c>
      <c r="Q46" s="37" t="s">
        <v>213</v>
      </c>
    </row>
    <row r="47" spans="1:17" ht="15">
      <c r="A47">
        <v>45</v>
      </c>
      <c r="B47" s="37" t="s">
        <v>74</v>
      </c>
      <c r="C47" s="37" t="s">
        <v>214</v>
      </c>
      <c r="D47" s="37" t="s">
        <v>215</v>
      </c>
      <c r="E47" s="37">
        <v>3</v>
      </c>
      <c r="F47" s="37" t="s">
        <v>77</v>
      </c>
      <c r="G47" s="37" t="s">
        <v>77</v>
      </c>
      <c r="H47" s="37" t="s">
        <v>77</v>
      </c>
      <c r="I47" s="37" t="s">
        <v>77</v>
      </c>
      <c r="J47" s="37" t="s">
        <v>77</v>
      </c>
      <c r="K47" s="37" t="s">
        <v>78</v>
      </c>
      <c r="L47" s="37" t="s">
        <v>77</v>
      </c>
      <c r="M47" s="37" t="s">
        <v>77</v>
      </c>
      <c r="N47" s="37" t="s">
        <v>77</v>
      </c>
      <c r="O47" s="37" t="s">
        <v>77</v>
      </c>
      <c r="P47" s="37" t="s">
        <v>77</v>
      </c>
      <c r="Q47" s="37" t="s">
        <v>216</v>
      </c>
    </row>
    <row r="48" spans="1:17" ht="15">
      <c r="A48">
        <v>46</v>
      </c>
      <c r="B48" s="37" t="s">
        <v>74</v>
      </c>
      <c r="C48" s="37" t="s">
        <v>217</v>
      </c>
      <c r="D48" s="37" t="s">
        <v>218</v>
      </c>
      <c r="E48" s="37">
        <v>3</v>
      </c>
      <c r="F48" s="37" t="s">
        <v>77</v>
      </c>
      <c r="G48" s="37" t="s">
        <v>77</v>
      </c>
      <c r="H48" s="37" t="s">
        <v>77</v>
      </c>
      <c r="I48" s="37" t="s">
        <v>78</v>
      </c>
      <c r="J48" s="37" t="s">
        <v>78</v>
      </c>
      <c r="K48" s="37" t="s">
        <v>77</v>
      </c>
      <c r="L48" s="37" t="s">
        <v>77</v>
      </c>
      <c r="M48" s="37" t="s">
        <v>77</v>
      </c>
      <c r="N48" s="37" t="s">
        <v>78</v>
      </c>
      <c r="O48" s="37" t="s">
        <v>77</v>
      </c>
      <c r="P48" s="37" t="s">
        <v>77</v>
      </c>
      <c r="Q48" s="37" t="s">
        <v>219</v>
      </c>
    </row>
    <row r="49" spans="1:17" ht="15">
      <c r="A49">
        <v>47</v>
      </c>
      <c r="B49" s="37" t="s">
        <v>74</v>
      </c>
      <c r="C49" s="37" t="s">
        <v>220</v>
      </c>
      <c r="D49" s="37" t="s">
        <v>221</v>
      </c>
      <c r="E49" s="37">
        <v>3</v>
      </c>
      <c r="F49" s="37" t="s">
        <v>78</v>
      </c>
      <c r="G49" s="37" t="s">
        <v>77</v>
      </c>
      <c r="H49" s="37" t="s">
        <v>77</v>
      </c>
      <c r="I49" s="37" t="s">
        <v>78</v>
      </c>
      <c r="J49" s="37" t="s">
        <v>78</v>
      </c>
      <c r="K49" s="37" t="s">
        <v>77</v>
      </c>
      <c r="L49" s="37" t="s">
        <v>77</v>
      </c>
      <c r="M49" s="37" t="s">
        <v>77</v>
      </c>
      <c r="N49" s="37" t="s">
        <v>78</v>
      </c>
      <c r="O49" s="37" t="s">
        <v>77</v>
      </c>
      <c r="P49" s="37" t="s">
        <v>77</v>
      </c>
      <c r="Q49" s="37" t="s">
        <v>222</v>
      </c>
    </row>
    <row r="50" spans="1:17" ht="15">
      <c r="A50">
        <v>48</v>
      </c>
      <c r="B50" s="37" t="s">
        <v>74</v>
      </c>
      <c r="C50" s="37" t="s">
        <v>223</v>
      </c>
      <c r="D50" s="37" t="s">
        <v>224</v>
      </c>
      <c r="E50" s="37">
        <v>3</v>
      </c>
      <c r="F50" s="37" t="s">
        <v>82</v>
      </c>
      <c r="G50" s="37" t="s">
        <v>77</v>
      </c>
      <c r="H50" s="37" t="s">
        <v>77</v>
      </c>
      <c r="I50" s="37" t="s">
        <v>78</v>
      </c>
      <c r="J50" s="37" t="s">
        <v>78</v>
      </c>
      <c r="K50" s="37" t="s">
        <v>77</v>
      </c>
      <c r="L50" s="37" t="s">
        <v>77</v>
      </c>
      <c r="M50" s="37" t="s">
        <v>78</v>
      </c>
      <c r="N50" s="37" t="s">
        <v>78</v>
      </c>
      <c r="O50" s="37" t="s">
        <v>78</v>
      </c>
      <c r="P50" s="37" t="s">
        <v>77</v>
      </c>
      <c r="Q50" s="37" t="s">
        <v>225</v>
      </c>
    </row>
    <row r="51" spans="1:17" ht="15">
      <c r="A51">
        <v>49</v>
      </c>
      <c r="B51" s="37" t="s">
        <v>74</v>
      </c>
      <c r="C51" s="37" t="s">
        <v>226</v>
      </c>
      <c r="D51" s="37" t="s">
        <v>227</v>
      </c>
      <c r="E51" s="37">
        <v>3</v>
      </c>
      <c r="F51" s="37" t="s">
        <v>77</v>
      </c>
      <c r="G51" s="37" t="s">
        <v>77</v>
      </c>
      <c r="H51" s="37" t="s">
        <v>78</v>
      </c>
      <c r="I51" s="37" t="s">
        <v>77</v>
      </c>
      <c r="J51" s="37" t="s">
        <v>78</v>
      </c>
      <c r="K51" s="37" t="s">
        <v>77</v>
      </c>
      <c r="L51" s="37" t="s">
        <v>77</v>
      </c>
      <c r="M51" s="37" t="s">
        <v>77</v>
      </c>
      <c r="N51" s="37" t="s">
        <v>77</v>
      </c>
      <c r="O51" s="37" t="s">
        <v>77</v>
      </c>
      <c r="P51" s="37" t="s">
        <v>82</v>
      </c>
      <c r="Q51" s="37" t="s">
        <v>228</v>
      </c>
    </row>
    <row r="52" spans="1:17" ht="15">
      <c r="A52">
        <v>50</v>
      </c>
      <c r="B52" s="37" t="s">
        <v>74</v>
      </c>
      <c r="C52" s="37" t="s">
        <v>229</v>
      </c>
      <c r="D52" s="37" t="s">
        <v>230</v>
      </c>
      <c r="E52" s="37">
        <v>3</v>
      </c>
      <c r="F52" s="37" t="s">
        <v>77</v>
      </c>
      <c r="G52" s="37" t="s">
        <v>77</v>
      </c>
      <c r="H52" s="37" t="s">
        <v>77</v>
      </c>
      <c r="I52" s="37" t="s">
        <v>78</v>
      </c>
      <c r="J52" s="37" t="s">
        <v>77</v>
      </c>
      <c r="K52" s="37" t="s">
        <v>77</v>
      </c>
      <c r="L52" s="37" t="s">
        <v>77</v>
      </c>
      <c r="M52" s="37" t="s">
        <v>77</v>
      </c>
      <c r="N52" s="37" t="s">
        <v>82</v>
      </c>
      <c r="O52" s="37" t="s">
        <v>77</v>
      </c>
      <c r="P52" s="37" t="s">
        <v>77</v>
      </c>
      <c r="Q52" s="37" t="s">
        <v>231</v>
      </c>
    </row>
    <row r="53" spans="1:17" ht="15">
      <c r="A53">
        <v>51</v>
      </c>
      <c r="B53" s="37" t="s">
        <v>74</v>
      </c>
      <c r="C53" s="37" t="s">
        <v>232</v>
      </c>
      <c r="D53" s="37" t="s">
        <v>233</v>
      </c>
      <c r="E53" s="37">
        <v>3</v>
      </c>
      <c r="F53" s="37" t="s">
        <v>77</v>
      </c>
      <c r="G53" s="37" t="s">
        <v>77</v>
      </c>
      <c r="H53" s="37" t="s">
        <v>77</v>
      </c>
      <c r="I53" s="37" t="s">
        <v>78</v>
      </c>
      <c r="J53" s="37" t="s">
        <v>77</v>
      </c>
      <c r="K53" s="37" t="s">
        <v>77</v>
      </c>
      <c r="L53" s="37" t="s">
        <v>77</v>
      </c>
      <c r="M53" s="37" t="s">
        <v>77</v>
      </c>
      <c r="N53" s="37" t="s">
        <v>78</v>
      </c>
      <c r="O53" s="37" t="s">
        <v>78</v>
      </c>
      <c r="P53" s="37" t="s">
        <v>77</v>
      </c>
      <c r="Q53" s="37" t="s">
        <v>234</v>
      </c>
    </row>
    <row r="54" spans="1:17" ht="15">
      <c r="A54">
        <v>52</v>
      </c>
      <c r="B54" s="37" t="s">
        <v>74</v>
      </c>
      <c r="C54" s="37" t="s">
        <v>235</v>
      </c>
      <c r="D54" s="37" t="s">
        <v>236</v>
      </c>
      <c r="E54" s="37">
        <v>3</v>
      </c>
      <c r="F54" s="37" t="s">
        <v>78</v>
      </c>
      <c r="G54" s="37" t="s">
        <v>77</v>
      </c>
      <c r="H54" s="37" t="s">
        <v>77</v>
      </c>
      <c r="I54" s="37" t="s">
        <v>77</v>
      </c>
      <c r="J54" s="37" t="s">
        <v>77</v>
      </c>
      <c r="K54" s="37" t="s">
        <v>77</v>
      </c>
      <c r="L54" s="37" t="s">
        <v>77</v>
      </c>
      <c r="M54" s="37" t="s">
        <v>77</v>
      </c>
      <c r="N54" s="37" t="s">
        <v>78</v>
      </c>
      <c r="O54" s="37" t="s">
        <v>77</v>
      </c>
      <c r="P54" s="37" t="s">
        <v>77</v>
      </c>
      <c r="Q54" s="37" t="s">
        <v>237</v>
      </c>
    </row>
    <row r="55" spans="1:17" ht="15">
      <c r="A55">
        <v>53</v>
      </c>
      <c r="B55" s="37" t="s">
        <v>74</v>
      </c>
      <c r="C55" s="37" t="s">
        <v>238</v>
      </c>
      <c r="D55" s="37" t="s">
        <v>239</v>
      </c>
      <c r="E55" s="37">
        <v>3</v>
      </c>
      <c r="F55" s="37" t="s">
        <v>77</v>
      </c>
      <c r="G55" s="37" t="s">
        <v>77</v>
      </c>
      <c r="H55" s="37" t="s">
        <v>77</v>
      </c>
      <c r="I55" s="37" t="s">
        <v>77</v>
      </c>
      <c r="J55" s="37" t="s">
        <v>77</v>
      </c>
      <c r="K55" s="37" t="s">
        <v>77</v>
      </c>
      <c r="L55" s="37" t="s">
        <v>77</v>
      </c>
      <c r="M55" s="37" t="s">
        <v>82</v>
      </c>
      <c r="N55" s="37" t="s">
        <v>77</v>
      </c>
      <c r="O55" s="37" t="s">
        <v>77</v>
      </c>
      <c r="P55" s="37" t="s">
        <v>77</v>
      </c>
      <c r="Q55" s="37" t="s">
        <v>240</v>
      </c>
    </row>
    <row r="56" spans="1:17" ht="15">
      <c r="A56">
        <v>54</v>
      </c>
      <c r="B56" s="37" t="s">
        <v>74</v>
      </c>
      <c r="C56" s="37" t="s">
        <v>241</v>
      </c>
      <c r="D56" s="37" t="s">
        <v>242</v>
      </c>
      <c r="E56" s="37">
        <v>3</v>
      </c>
      <c r="F56" s="37" t="s">
        <v>77</v>
      </c>
      <c r="G56" s="37" t="s">
        <v>78</v>
      </c>
      <c r="H56" s="37" t="s">
        <v>77</v>
      </c>
      <c r="I56" s="37" t="s">
        <v>77</v>
      </c>
      <c r="J56" s="37" t="s">
        <v>77</v>
      </c>
      <c r="K56" s="37" t="s">
        <v>77</v>
      </c>
      <c r="L56" s="37" t="s">
        <v>78</v>
      </c>
      <c r="M56" s="37" t="s">
        <v>78</v>
      </c>
      <c r="N56" s="37" t="s">
        <v>77</v>
      </c>
      <c r="O56" s="37" t="s">
        <v>78</v>
      </c>
      <c r="P56" s="37" t="s">
        <v>77</v>
      </c>
      <c r="Q56" s="37" t="s">
        <v>243</v>
      </c>
    </row>
    <row r="57" spans="1:17" ht="15">
      <c r="A57">
        <v>55</v>
      </c>
      <c r="B57" s="37" t="s">
        <v>74</v>
      </c>
      <c r="C57" s="37" t="s">
        <v>244</v>
      </c>
      <c r="D57" s="37" t="s">
        <v>245</v>
      </c>
      <c r="E57" s="37">
        <v>3</v>
      </c>
      <c r="F57" s="37" t="s">
        <v>78</v>
      </c>
      <c r="G57" s="37" t="s">
        <v>77</v>
      </c>
      <c r="H57" s="37" t="s">
        <v>77</v>
      </c>
      <c r="I57" s="37" t="s">
        <v>77</v>
      </c>
      <c r="J57" s="37" t="s">
        <v>77</v>
      </c>
      <c r="K57" s="37" t="s">
        <v>77</v>
      </c>
      <c r="L57" s="37" t="s">
        <v>78</v>
      </c>
      <c r="M57" s="37" t="s">
        <v>77</v>
      </c>
      <c r="N57" s="37" t="s">
        <v>78</v>
      </c>
      <c r="O57" s="37" t="s">
        <v>77</v>
      </c>
      <c r="P57" s="37" t="s">
        <v>77</v>
      </c>
      <c r="Q57" s="37" t="s">
        <v>246</v>
      </c>
    </row>
    <row r="58" spans="1:17" ht="15">
      <c r="A58">
        <v>56</v>
      </c>
      <c r="B58" s="37" t="s">
        <v>74</v>
      </c>
      <c r="C58" s="37" t="s">
        <v>247</v>
      </c>
      <c r="D58" s="37" t="s">
        <v>248</v>
      </c>
      <c r="E58" s="37">
        <v>3</v>
      </c>
      <c r="F58" s="37" t="s">
        <v>77</v>
      </c>
      <c r="G58" s="37" t="s">
        <v>77</v>
      </c>
      <c r="H58" s="37" t="s">
        <v>78</v>
      </c>
      <c r="I58" s="37" t="s">
        <v>77</v>
      </c>
      <c r="J58" s="37" t="s">
        <v>77</v>
      </c>
      <c r="K58" s="37" t="s">
        <v>77</v>
      </c>
      <c r="L58" s="37" t="s">
        <v>77</v>
      </c>
      <c r="M58" s="37" t="s">
        <v>78</v>
      </c>
      <c r="N58" s="37" t="s">
        <v>77</v>
      </c>
      <c r="O58" s="37" t="s">
        <v>77</v>
      </c>
      <c r="P58" s="37" t="s">
        <v>78</v>
      </c>
      <c r="Q58" s="37" t="s">
        <v>249</v>
      </c>
    </row>
    <row r="59" spans="1:17" ht="15">
      <c r="A59">
        <v>57</v>
      </c>
      <c r="B59" s="37" t="s">
        <v>74</v>
      </c>
      <c r="C59" s="37" t="s">
        <v>250</v>
      </c>
      <c r="D59" s="37" t="s">
        <v>251</v>
      </c>
      <c r="E59" s="37">
        <v>3</v>
      </c>
      <c r="F59" s="37" t="s">
        <v>92</v>
      </c>
      <c r="G59" s="37" t="s">
        <v>92</v>
      </c>
      <c r="H59" s="37" t="s">
        <v>92</v>
      </c>
      <c r="I59" s="37" t="s">
        <v>92</v>
      </c>
      <c r="J59" s="37" t="s">
        <v>92</v>
      </c>
      <c r="K59" s="37" t="s">
        <v>92</v>
      </c>
      <c r="L59" s="37" t="s">
        <v>92</v>
      </c>
      <c r="M59" s="37" t="s">
        <v>92</v>
      </c>
      <c r="N59" s="37" t="s">
        <v>78</v>
      </c>
      <c r="O59" s="37" t="s">
        <v>92</v>
      </c>
      <c r="P59" s="37" t="s">
        <v>92</v>
      </c>
      <c r="Q59" s="37" t="s">
        <v>252</v>
      </c>
    </row>
    <row r="60" spans="1:17" ht="15">
      <c r="A60">
        <v>58</v>
      </c>
      <c r="B60" s="37" t="s">
        <v>74</v>
      </c>
      <c r="C60" s="37" t="s">
        <v>253</v>
      </c>
      <c r="D60" s="37" t="s">
        <v>254</v>
      </c>
      <c r="E60" s="37">
        <v>3</v>
      </c>
      <c r="F60" s="37" t="s">
        <v>92</v>
      </c>
      <c r="G60" s="37" t="s">
        <v>92</v>
      </c>
      <c r="H60" s="37" t="s">
        <v>92</v>
      </c>
      <c r="I60" s="37" t="s">
        <v>92</v>
      </c>
      <c r="J60" s="37" t="s">
        <v>92</v>
      </c>
      <c r="K60" s="37" t="s">
        <v>92</v>
      </c>
      <c r="L60" s="37" t="s">
        <v>92</v>
      </c>
      <c r="M60" s="37" t="s">
        <v>92</v>
      </c>
      <c r="N60" s="37" t="s">
        <v>78</v>
      </c>
      <c r="O60" s="37" t="s">
        <v>92</v>
      </c>
      <c r="P60" s="37" t="s">
        <v>92</v>
      </c>
      <c r="Q60" s="37" t="s">
        <v>255</v>
      </c>
    </row>
    <row r="61" spans="1:17" ht="15">
      <c r="A61">
        <v>59</v>
      </c>
      <c r="B61" s="37" t="s">
        <v>74</v>
      </c>
      <c r="C61" s="37" t="s">
        <v>256</v>
      </c>
      <c r="D61" s="37" t="s">
        <v>257</v>
      </c>
      <c r="E61" s="37">
        <v>3</v>
      </c>
      <c r="F61" s="37" t="s">
        <v>78</v>
      </c>
      <c r="G61" s="37" t="s">
        <v>77</v>
      </c>
      <c r="H61" s="37" t="s">
        <v>77</v>
      </c>
      <c r="I61" s="37" t="s">
        <v>77</v>
      </c>
      <c r="J61" s="37" t="s">
        <v>77</v>
      </c>
      <c r="K61" s="37" t="s">
        <v>77</v>
      </c>
      <c r="L61" s="37" t="s">
        <v>77</v>
      </c>
      <c r="M61" s="37" t="s">
        <v>77</v>
      </c>
      <c r="N61" s="37" t="s">
        <v>78</v>
      </c>
      <c r="O61" s="37" t="s">
        <v>77</v>
      </c>
      <c r="P61" s="37" t="s">
        <v>77</v>
      </c>
      <c r="Q61" s="37" t="s">
        <v>258</v>
      </c>
    </row>
    <row r="62" spans="1:17" ht="15">
      <c r="A62">
        <v>60</v>
      </c>
      <c r="B62" s="37" t="s">
        <v>74</v>
      </c>
      <c r="C62" s="37" t="s">
        <v>259</v>
      </c>
      <c r="D62" s="37" t="s">
        <v>260</v>
      </c>
      <c r="E62" s="37">
        <v>3</v>
      </c>
      <c r="F62" s="37" t="s">
        <v>77</v>
      </c>
      <c r="G62" s="37" t="s">
        <v>77</v>
      </c>
      <c r="H62" s="37" t="s">
        <v>77</v>
      </c>
      <c r="I62" s="37" t="s">
        <v>77</v>
      </c>
      <c r="J62" s="37" t="s">
        <v>77</v>
      </c>
      <c r="K62" s="37" t="s">
        <v>77</v>
      </c>
      <c r="L62" s="37" t="s">
        <v>77</v>
      </c>
      <c r="M62" s="37" t="s">
        <v>77</v>
      </c>
      <c r="N62" s="37" t="s">
        <v>77</v>
      </c>
      <c r="O62" s="37" t="s">
        <v>77</v>
      </c>
      <c r="P62" s="37" t="s">
        <v>77</v>
      </c>
      <c r="Q62" s="37" t="s">
        <v>261</v>
      </c>
    </row>
    <row r="63" spans="1:17" ht="15">
      <c r="A63">
        <v>61</v>
      </c>
      <c r="B63" s="37" t="s">
        <v>74</v>
      </c>
      <c r="C63" s="37" t="s">
        <v>262</v>
      </c>
      <c r="D63" s="37" t="s">
        <v>263</v>
      </c>
      <c r="E63" s="37">
        <v>3</v>
      </c>
      <c r="F63" s="37" t="s">
        <v>77</v>
      </c>
      <c r="G63" s="37" t="s">
        <v>77</v>
      </c>
      <c r="H63" s="37" t="s">
        <v>77</v>
      </c>
      <c r="I63" s="37" t="s">
        <v>77</v>
      </c>
      <c r="J63" s="37" t="s">
        <v>77</v>
      </c>
      <c r="K63" s="37" t="s">
        <v>77</v>
      </c>
      <c r="L63" s="37" t="s">
        <v>77</v>
      </c>
      <c r="M63" s="37" t="s">
        <v>77</v>
      </c>
      <c r="N63" s="37" t="s">
        <v>78</v>
      </c>
      <c r="O63" s="37" t="s">
        <v>77</v>
      </c>
      <c r="P63" s="37" t="s">
        <v>77</v>
      </c>
      <c r="Q63" s="37" t="s">
        <v>264</v>
      </c>
    </row>
    <row r="64" spans="1:17" ht="15">
      <c r="A64">
        <v>62</v>
      </c>
      <c r="B64" s="37" t="s">
        <v>74</v>
      </c>
      <c r="C64" s="37" t="s">
        <v>265</v>
      </c>
      <c r="D64" s="37" t="s">
        <v>266</v>
      </c>
      <c r="E64" s="37">
        <v>3</v>
      </c>
      <c r="F64" s="37" t="s">
        <v>77</v>
      </c>
      <c r="G64" s="37" t="s">
        <v>77</v>
      </c>
      <c r="H64" s="37" t="s">
        <v>77</v>
      </c>
      <c r="I64" s="37" t="s">
        <v>77</v>
      </c>
      <c r="J64" s="37" t="s">
        <v>77</v>
      </c>
      <c r="K64" s="37" t="s">
        <v>78</v>
      </c>
      <c r="L64" s="37" t="s">
        <v>77</v>
      </c>
      <c r="M64" s="37" t="s">
        <v>77</v>
      </c>
      <c r="N64" s="37" t="s">
        <v>77</v>
      </c>
      <c r="O64" s="37" t="s">
        <v>77</v>
      </c>
      <c r="P64" s="37" t="s">
        <v>77</v>
      </c>
      <c r="Q64" s="37" t="s">
        <v>267</v>
      </c>
    </row>
    <row r="65" spans="1:17" ht="15">
      <c r="A65">
        <v>63</v>
      </c>
      <c r="B65" s="37" t="s">
        <v>74</v>
      </c>
      <c r="C65" s="37" t="s">
        <v>268</v>
      </c>
      <c r="D65" s="37" t="s">
        <v>269</v>
      </c>
      <c r="E65" s="37">
        <v>3</v>
      </c>
      <c r="F65" s="37" t="s">
        <v>77</v>
      </c>
      <c r="G65" s="37" t="s">
        <v>78</v>
      </c>
      <c r="H65" s="37" t="s">
        <v>82</v>
      </c>
      <c r="I65" s="37" t="s">
        <v>77</v>
      </c>
      <c r="J65" s="37" t="s">
        <v>82</v>
      </c>
      <c r="K65" s="37" t="s">
        <v>77</v>
      </c>
      <c r="L65" s="37" t="s">
        <v>77</v>
      </c>
      <c r="M65" s="37" t="s">
        <v>82</v>
      </c>
      <c r="N65" s="37" t="s">
        <v>77</v>
      </c>
      <c r="O65" s="37" t="s">
        <v>77</v>
      </c>
      <c r="P65" s="37" t="s">
        <v>82</v>
      </c>
      <c r="Q65" s="37" t="s">
        <v>270</v>
      </c>
    </row>
    <row r="66" spans="1:17" ht="15">
      <c r="A66">
        <v>64</v>
      </c>
      <c r="B66" s="37" t="s">
        <v>74</v>
      </c>
      <c r="C66" s="37" t="s">
        <v>271</v>
      </c>
      <c r="D66" s="37" t="s">
        <v>272</v>
      </c>
      <c r="E66" s="37">
        <v>3</v>
      </c>
      <c r="F66" s="37" t="s">
        <v>77</v>
      </c>
      <c r="G66" s="37" t="s">
        <v>77</v>
      </c>
      <c r="H66" s="37" t="s">
        <v>77</v>
      </c>
      <c r="I66" s="37" t="s">
        <v>77</v>
      </c>
      <c r="J66" s="37" t="s">
        <v>77</v>
      </c>
      <c r="K66" s="37" t="s">
        <v>77</v>
      </c>
      <c r="L66" s="37" t="s">
        <v>77</v>
      </c>
      <c r="M66" s="37" t="s">
        <v>77</v>
      </c>
      <c r="N66" s="37" t="s">
        <v>77</v>
      </c>
      <c r="O66" s="37" t="s">
        <v>77</v>
      </c>
      <c r="P66" s="37" t="s">
        <v>77</v>
      </c>
      <c r="Q66" s="37" t="s">
        <v>273</v>
      </c>
    </row>
    <row r="67" spans="1:17" ht="15">
      <c r="A67">
        <v>65</v>
      </c>
      <c r="B67" s="37" t="s">
        <v>74</v>
      </c>
      <c r="C67" s="37" t="s">
        <v>274</v>
      </c>
      <c r="D67" s="37" t="s">
        <v>275</v>
      </c>
      <c r="E67" s="37">
        <v>3</v>
      </c>
      <c r="F67" s="37" t="s">
        <v>77</v>
      </c>
      <c r="G67" s="37" t="s">
        <v>78</v>
      </c>
      <c r="H67" s="37" t="s">
        <v>77</v>
      </c>
      <c r="I67" s="37" t="s">
        <v>77</v>
      </c>
      <c r="J67" s="37" t="s">
        <v>78</v>
      </c>
      <c r="K67" s="37" t="s">
        <v>77</v>
      </c>
      <c r="L67" s="37" t="s">
        <v>78</v>
      </c>
      <c r="M67" s="37" t="s">
        <v>82</v>
      </c>
      <c r="N67" s="37" t="s">
        <v>77</v>
      </c>
      <c r="O67" s="37" t="s">
        <v>77</v>
      </c>
      <c r="P67" s="37" t="s">
        <v>77</v>
      </c>
      <c r="Q67" s="37" t="s">
        <v>276</v>
      </c>
    </row>
    <row r="68" spans="1:17" ht="15">
      <c r="A68">
        <v>66</v>
      </c>
      <c r="B68" s="37" t="s">
        <v>74</v>
      </c>
      <c r="C68" s="37" t="s">
        <v>277</v>
      </c>
      <c r="D68" s="37" t="s">
        <v>278</v>
      </c>
      <c r="E68" s="37">
        <v>3</v>
      </c>
      <c r="F68" s="37" t="s">
        <v>77</v>
      </c>
      <c r="G68" s="37" t="s">
        <v>77</v>
      </c>
      <c r="H68" s="37" t="s">
        <v>82</v>
      </c>
      <c r="I68" s="37" t="s">
        <v>77</v>
      </c>
      <c r="J68" s="37" t="s">
        <v>78</v>
      </c>
      <c r="K68" s="37" t="s">
        <v>77</v>
      </c>
      <c r="L68" s="37" t="s">
        <v>77</v>
      </c>
      <c r="M68" s="37" t="s">
        <v>78</v>
      </c>
      <c r="N68" s="37" t="s">
        <v>77</v>
      </c>
      <c r="O68" s="37" t="s">
        <v>77</v>
      </c>
      <c r="P68" s="37" t="s">
        <v>77</v>
      </c>
      <c r="Q68" s="37" t="s">
        <v>279</v>
      </c>
    </row>
    <row r="69" spans="1:17" ht="15">
      <c r="A69">
        <v>67</v>
      </c>
      <c r="B69" s="37" t="s">
        <v>74</v>
      </c>
      <c r="C69" s="37" t="s">
        <v>280</v>
      </c>
      <c r="D69" s="37" t="s">
        <v>281</v>
      </c>
      <c r="E69" s="37">
        <v>3</v>
      </c>
      <c r="F69" s="37" t="s">
        <v>77</v>
      </c>
      <c r="G69" s="37" t="s">
        <v>78</v>
      </c>
      <c r="H69" s="37" t="s">
        <v>78</v>
      </c>
      <c r="I69" s="37" t="s">
        <v>77</v>
      </c>
      <c r="J69" s="37" t="s">
        <v>78</v>
      </c>
      <c r="K69" s="37" t="s">
        <v>77</v>
      </c>
      <c r="L69" s="37" t="s">
        <v>78</v>
      </c>
      <c r="M69" s="37" t="s">
        <v>78</v>
      </c>
      <c r="N69" s="37" t="s">
        <v>77</v>
      </c>
      <c r="O69" s="37" t="s">
        <v>77</v>
      </c>
      <c r="P69" s="37" t="s">
        <v>77</v>
      </c>
      <c r="Q69" s="37" t="s">
        <v>282</v>
      </c>
    </row>
    <row r="70" spans="1:17" ht="15">
      <c r="A70">
        <v>68</v>
      </c>
      <c r="B70" s="37" t="s">
        <v>74</v>
      </c>
      <c r="C70" s="37" t="s">
        <v>283</v>
      </c>
      <c r="D70" s="37" t="s">
        <v>284</v>
      </c>
      <c r="E70" s="37">
        <v>3</v>
      </c>
      <c r="F70" s="37" t="s">
        <v>92</v>
      </c>
      <c r="G70" s="37" t="s">
        <v>92</v>
      </c>
      <c r="H70" s="37" t="s">
        <v>92</v>
      </c>
      <c r="I70" s="37" t="s">
        <v>92</v>
      </c>
      <c r="J70" s="37" t="s">
        <v>92</v>
      </c>
      <c r="K70" s="37" t="s">
        <v>92</v>
      </c>
      <c r="L70" s="37" t="s">
        <v>92</v>
      </c>
      <c r="M70" s="37" t="s">
        <v>92</v>
      </c>
      <c r="N70" s="37" t="s">
        <v>92</v>
      </c>
      <c r="O70" s="37" t="s">
        <v>92</v>
      </c>
      <c r="P70" s="37" t="s">
        <v>92</v>
      </c>
      <c r="Q70" s="37" t="s">
        <v>285</v>
      </c>
    </row>
    <row r="71" spans="1:17" ht="15">
      <c r="A71">
        <v>69</v>
      </c>
      <c r="B71" s="37" t="s">
        <v>74</v>
      </c>
      <c r="C71" s="37" t="s">
        <v>286</v>
      </c>
      <c r="D71" s="37" t="s">
        <v>287</v>
      </c>
      <c r="E71" s="37">
        <v>3</v>
      </c>
      <c r="F71" s="37" t="s">
        <v>77</v>
      </c>
      <c r="G71" s="37" t="s">
        <v>77</v>
      </c>
      <c r="H71" s="37" t="s">
        <v>77</v>
      </c>
      <c r="I71" s="37" t="s">
        <v>77</v>
      </c>
      <c r="J71" s="37" t="s">
        <v>77</v>
      </c>
      <c r="K71" s="37" t="s">
        <v>77</v>
      </c>
      <c r="L71" s="37" t="s">
        <v>78</v>
      </c>
      <c r="M71" s="37" t="s">
        <v>77</v>
      </c>
      <c r="N71" s="37" t="s">
        <v>77</v>
      </c>
      <c r="O71" s="37" t="s">
        <v>82</v>
      </c>
      <c r="P71" s="37" t="s">
        <v>77</v>
      </c>
      <c r="Q71" s="37" t="s">
        <v>288</v>
      </c>
    </row>
    <row r="72" spans="1:17" ht="15">
      <c r="A72">
        <v>70</v>
      </c>
      <c r="B72" s="37" t="s">
        <v>74</v>
      </c>
      <c r="C72" s="37" t="s">
        <v>289</v>
      </c>
      <c r="D72" s="37" t="s">
        <v>290</v>
      </c>
      <c r="E72" s="37">
        <v>3</v>
      </c>
      <c r="F72" s="37" t="s">
        <v>77</v>
      </c>
      <c r="G72" s="37" t="s">
        <v>77</v>
      </c>
      <c r="H72" s="37" t="s">
        <v>77</v>
      </c>
      <c r="I72" s="37" t="s">
        <v>77</v>
      </c>
      <c r="J72" s="37" t="s">
        <v>77</v>
      </c>
      <c r="K72" s="37" t="s">
        <v>77</v>
      </c>
      <c r="L72" s="37" t="s">
        <v>78</v>
      </c>
      <c r="M72" s="37" t="s">
        <v>77</v>
      </c>
      <c r="N72" s="37" t="s">
        <v>77</v>
      </c>
      <c r="O72" s="37" t="s">
        <v>82</v>
      </c>
      <c r="P72" s="37" t="s">
        <v>77</v>
      </c>
      <c r="Q72" s="37" t="s">
        <v>291</v>
      </c>
    </row>
    <row r="73" spans="1:17" ht="15">
      <c r="A73">
        <v>71</v>
      </c>
      <c r="B73" s="37" t="s">
        <v>74</v>
      </c>
      <c r="C73" s="37" t="s">
        <v>292</v>
      </c>
      <c r="D73" s="37" t="s">
        <v>293</v>
      </c>
      <c r="E73" s="37">
        <v>3</v>
      </c>
      <c r="F73" s="37" t="s">
        <v>77</v>
      </c>
      <c r="G73" s="37" t="s">
        <v>77</v>
      </c>
      <c r="H73" s="37" t="s">
        <v>77</v>
      </c>
      <c r="I73" s="37" t="s">
        <v>77</v>
      </c>
      <c r="J73" s="37" t="s">
        <v>77</v>
      </c>
      <c r="K73" s="37" t="s">
        <v>77</v>
      </c>
      <c r="L73" s="37" t="s">
        <v>77</v>
      </c>
      <c r="M73" s="37" t="s">
        <v>77</v>
      </c>
      <c r="N73" s="37" t="s">
        <v>77</v>
      </c>
      <c r="O73" s="37" t="s">
        <v>77</v>
      </c>
      <c r="P73" s="37" t="s">
        <v>78</v>
      </c>
      <c r="Q73" s="37" t="s">
        <v>294</v>
      </c>
    </row>
    <row r="74" spans="1:17" ht="15">
      <c r="A74">
        <v>72</v>
      </c>
      <c r="B74" s="37" t="s">
        <v>295</v>
      </c>
      <c r="C74" s="37" t="s">
        <v>296</v>
      </c>
      <c r="D74" s="37" t="s">
        <v>297</v>
      </c>
      <c r="E74" s="37">
        <v>3</v>
      </c>
      <c r="F74" s="37" t="s">
        <v>77</v>
      </c>
      <c r="G74" s="37" t="s">
        <v>77</v>
      </c>
      <c r="H74" s="37" t="s">
        <v>77</v>
      </c>
      <c r="I74" s="37" t="s">
        <v>77</v>
      </c>
      <c r="J74" s="37" t="s">
        <v>77</v>
      </c>
      <c r="K74" s="37" t="s">
        <v>77</v>
      </c>
      <c r="L74" s="37" t="s">
        <v>77</v>
      </c>
      <c r="M74" s="37" t="s">
        <v>77</v>
      </c>
      <c r="N74" s="37" t="s">
        <v>77</v>
      </c>
      <c r="O74" s="37" t="s">
        <v>77</v>
      </c>
      <c r="P74" s="37" t="s">
        <v>77</v>
      </c>
      <c r="Q74" s="37" t="s">
        <v>298</v>
      </c>
    </row>
    <row r="75" spans="1:17" ht="15">
      <c r="A75">
        <v>73</v>
      </c>
      <c r="B75" s="37" t="s">
        <v>295</v>
      </c>
      <c r="C75" s="37" t="s">
        <v>299</v>
      </c>
      <c r="D75" s="37" t="s">
        <v>300</v>
      </c>
      <c r="E75" s="37">
        <v>3</v>
      </c>
      <c r="F75" s="37" t="s">
        <v>77</v>
      </c>
      <c r="G75" s="37" t="s">
        <v>77</v>
      </c>
      <c r="H75" s="37" t="s">
        <v>77</v>
      </c>
      <c r="I75" s="37" t="s">
        <v>77</v>
      </c>
      <c r="J75" s="37" t="s">
        <v>77</v>
      </c>
      <c r="K75" s="37" t="s">
        <v>77</v>
      </c>
      <c r="L75" s="37" t="s">
        <v>77</v>
      </c>
      <c r="M75" s="37" t="s">
        <v>77</v>
      </c>
      <c r="N75" s="37" t="s">
        <v>77</v>
      </c>
      <c r="O75" s="37" t="s">
        <v>77</v>
      </c>
      <c r="P75" s="37" t="s">
        <v>77</v>
      </c>
      <c r="Q75" s="37" t="s">
        <v>301</v>
      </c>
    </row>
    <row r="76" spans="1:17" ht="15">
      <c r="A76">
        <v>74</v>
      </c>
      <c r="B76" s="37" t="s">
        <v>295</v>
      </c>
      <c r="C76" s="37" t="s">
        <v>302</v>
      </c>
      <c r="D76" s="37" t="s">
        <v>303</v>
      </c>
      <c r="E76" s="37">
        <v>3</v>
      </c>
      <c r="F76" s="37" t="s">
        <v>77</v>
      </c>
      <c r="G76" s="37" t="s">
        <v>77</v>
      </c>
      <c r="H76" s="37" t="s">
        <v>77</v>
      </c>
      <c r="I76" s="37" t="s">
        <v>77</v>
      </c>
      <c r="J76" s="37" t="s">
        <v>77</v>
      </c>
      <c r="K76" s="37" t="s">
        <v>77</v>
      </c>
      <c r="L76" s="37" t="s">
        <v>77</v>
      </c>
      <c r="M76" s="37" t="s">
        <v>77</v>
      </c>
      <c r="N76" s="37" t="s">
        <v>77</v>
      </c>
      <c r="O76" s="37" t="s">
        <v>77</v>
      </c>
      <c r="P76" s="37" t="s">
        <v>77</v>
      </c>
      <c r="Q76" s="37" t="s">
        <v>304</v>
      </c>
    </row>
    <row r="77" spans="1:17" ht="15">
      <c r="A77">
        <v>75</v>
      </c>
      <c r="B77" s="37" t="s">
        <v>295</v>
      </c>
      <c r="C77" s="37" t="s">
        <v>305</v>
      </c>
      <c r="D77" s="37" t="s">
        <v>306</v>
      </c>
      <c r="E77" s="37">
        <v>3</v>
      </c>
      <c r="F77" s="37" t="s">
        <v>77</v>
      </c>
      <c r="G77" s="37" t="s">
        <v>77</v>
      </c>
      <c r="H77" s="37" t="s">
        <v>77</v>
      </c>
      <c r="I77" s="37" t="s">
        <v>77</v>
      </c>
      <c r="J77" s="37" t="s">
        <v>77</v>
      </c>
      <c r="K77" s="37" t="s">
        <v>77</v>
      </c>
      <c r="L77" s="37" t="s">
        <v>77</v>
      </c>
      <c r="M77" s="37" t="s">
        <v>77</v>
      </c>
      <c r="N77" s="37" t="s">
        <v>77</v>
      </c>
      <c r="O77" s="37" t="s">
        <v>77</v>
      </c>
      <c r="P77" s="37" t="s">
        <v>77</v>
      </c>
      <c r="Q77" s="37" t="s">
        <v>307</v>
      </c>
    </row>
    <row r="78" spans="1:17" ht="15">
      <c r="A78">
        <v>76</v>
      </c>
      <c r="B78" s="37" t="s">
        <v>295</v>
      </c>
      <c r="C78" s="37" t="s">
        <v>308</v>
      </c>
      <c r="D78" s="37" t="s">
        <v>309</v>
      </c>
      <c r="E78" s="37">
        <v>3</v>
      </c>
      <c r="F78" s="37" t="s">
        <v>77</v>
      </c>
      <c r="G78" s="37" t="s">
        <v>77</v>
      </c>
      <c r="H78" s="37" t="s">
        <v>77</v>
      </c>
      <c r="I78" s="37" t="s">
        <v>77</v>
      </c>
      <c r="J78" s="37" t="s">
        <v>77</v>
      </c>
      <c r="K78" s="37" t="s">
        <v>77</v>
      </c>
      <c r="L78" s="37" t="s">
        <v>77</v>
      </c>
      <c r="M78" s="37" t="s">
        <v>77</v>
      </c>
      <c r="N78" s="37" t="s">
        <v>77</v>
      </c>
      <c r="O78" s="37" t="s">
        <v>77</v>
      </c>
      <c r="P78" s="37" t="s">
        <v>77</v>
      </c>
      <c r="Q78" s="37" t="s">
        <v>310</v>
      </c>
    </row>
    <row r="79" spans="1:17" ht="15">
      <c r="A79">
        <v>77</v>
      </c>
      <c r="B79" s="37" t="s">
        <v>295</v>
      </c>
      <c r="C79" s="37" t="s">
        <v>311</v>
      </c>
      <c r="D79" s="37" t="s">
        <v>312</v>
      </c>
      <c r="E79" s="37">
        <v>3</v>
      </c>
      <c r="F79" s="37" t="s">
        <v>77</v>
      </c>
      <c r="G79" s="37" t="s">
        <v>77</v>
      </c>
      <c r="H79" s="37" t="s">
        <v>77</v>
      </c>
      <c r="I79" s="37" t="s">
        <v>77</v>
      </c>
      <c r="J79" s="37" t="s">
        <v>77</v>
      </c>
      <c r="K79" s="37" t="s">
        <v>77</v>
      </c>
      <c r="L79" s="37" t="s">
        <v>77</v>
      </c>
      <c r="M79" s="37" t="s">
        <v>77</v>
      </c>
      <c r="N79" s="37" t="s">
        <v>77</v>
      </c>
      <c r="O79" s="37" t="s">
        <v>77</v>
      </c>
      <c r="P79" s="37" t="s">
        <v>77</v>
      </c>
      <c r="Q79" s="37" t="s">
        <v>313</v>
      </c>
    </row>
    <row r="80" spans="1:17" ht="15">
      <c r="A80">
        <v>78</v>
      </c>
      <c r="B80" s="37" t="s">
        <v>295</v>
      </c>
      <c r="C80" s="37" t="s">
        <v>314</v>
      </c>
      <c r="D80" s="37" t="s">
        <v>315</v>
      </c>
      <c r="E80" s="37">
        <v>3</v>
      </c>
      <c r="F80" s="37" t="s">
        <v>77</v>
      </c>
      <c r="G80" s="37" t="s">
        <v>77</v>
      </c>
      <c r="H80" s="37" t="s">
        <v>77</v>
      </c>
      <c r="I80" s="37" t="s">
        <v>77</v>
      </c>
      <c r="J80" s="37" t="s">
        <v>77</v>
      </c>
      <c r="K80" s="37" t="s">
        <v>77</v>
      </c>
      <c r="L80" s="37" t="s">
        <v>77</v>
      </c>
      <c r="M80" s="37" t="s">
        <v>77</v>
      </c>
      <c r="N80" s="37" t="s">
        <v>77</v>
      </c>
      <c r="O80" s="37" t="s">
        <v>77</v>
      </c>
      <c r="P80" s="37" t="s">
        <v>77</v>
      </c>
      <c r="Q80" s="37" t="s">
        <v>316</v>
      </c>
    </row>
    <row r="81" spans="1:17" ht="15">
      <c r="A81">
        <v>79</v>
      </c>
      <c r="B81" s="37" t="s">
        <v>295</v>
      </c>
      <c r="C81" s="37" t="s">
        <v>317</v>
      </c>
      <c r="D81" s="37" t="s">
        <v>318</v>
      </c>
      <c r="E81" s="37">
        <v>3</v>
      </c>
      <c r="F81" s="37" t="s">
        <v>77</v>
      </c>
      <c r="G81" s="37" t="s">
        <v>77</v>
      </c>
      <c r="H81" s="37" t="s">
        <v>77</v>
      </c>
      <c r="I81" s="37" t="s">
        <v>77</v>
      </c>
      <c r="J81" s="37" t="s">
        <v>77</v>
      </c>
      <c r="K81" s="37" t="s">
        <v>77</v>
      </c>
      <c r="L81" s="37" t="s">
        <v>77</v>
      </c>
      <c r="M81" s="37" t="s">
        <v>77</v>
      </c>
      <c r="N81" s="37" t="s">
        <v>77</v>
      </c>
      <c r="O81" s="37" t="s">
        <v>77</v>
      </c>
      <c r="P81" s="37" t="s">
        <v>77</v>
      </c>
      <c r="Q81" s="37" t="s">
        <v>319</v>
      </c>
    </row>
    <row r="82" spans="1:17" ht="15">
      <c r="A82">
        <v>80</v>
      </c>
      <c r="B82" s="37" t="s">
        <v>295</v>
      </c>
      <c r="C82" s="37" t="s">
        <v>320</v>
      </c>
      <c r="D82" s="37" t="s">
        <v>321</v>
      </c>
      <c r="E82" s="37">
        <v>3</v>
      </c>
      <c r="F82" s="37" t="s">
        <v>77</v>
      </c>
      <c r="G82" s="37" t="s">
        <v>77</v>
      </c>
      <c r="H82" s="37" t="s">
        <v>77</v>
      </c>
      <c r="I82" s="37" t="s">
        <v>77</v>
      </c>
      <c r="J82" s="37" t="s">
        <v>77</v>
      </c>
      <c r="K82" s="37" t="s">
        <v>77</v>
      </c>
      <c r="L82" s="37" t="s">
        <v>77</v>
      </c>
      <c r="M82" s="37" t="s">
        <v>77</v>
      </c>
      <c r="N82" s="37" t="s">
        <v>77</v>
      </c>
      <c r="O82" s="37" t="s">
        <v>77</v>
      </c>
      <c r="P82" s="37" t="s">
        <v>77</v>
      </c>
      <c r="Q82" s="37" t="s">
        <v>322</v>
      </c>
    </row>
    <row r="83" spans="1:17" ht="15">
      <c r="A83">
        <v>81</v>
      </c>
      <c r="B83" s="37" t="s">
        <v>295</v>
      </c>
      <c r="C83" s="37" t="s">
        <v>323</v>
      </c>
      <c r="D83" s="37" t="s">
        <v>324</v>
      </c>
      <c r="E83" s="37">
        <v>3</v>
      </c>
      <c r="F83" s="37" t="s">
        <v>77</v>
      </c>
      <c r="G83" s="37" t="s">
        <v>77</v>
      </c>
      <c r="H83" s="37" t="s">
        <v>77</v>
      </c>
      <c r="I83" s="37" t="s">
        <v>77</v>
      </c>
      <c r="J83" s="37" t="s">
        <v>77</v>
      </c>
      <c r="K83" s="37" t="s">
        <v>77</v>
      </c>
      <c r="L83" s="37" t="s">
        <v>77</v>
      </c>
      <c r="M83" s="37" t="s">
        <v>77</v>
      </c>
      <c r="N83" s="37" t="s">
        <v>77</v>
      </c>
      <c r="O83" s="37" t="s">
        <v>77</v>
      </c>
      <c r="P83" s="37" t="s">
        <v>77</v>
      </c>
      <c r="Q83" s="37" t="s">
        <v>325</v>
      </c>
    </row>
    <row r="84" spans="1:17" ht="15">
      <c r="A84">
        <v>82</v>
      </c>
      <c r="B84" s="37" t="s">
        <v>295</v>
      </c>
      <c r="C84" s="37" t="s">
        <v>326</v>
      </c>
      <c r="D84" s="37" t="s">
        <v>327</v>
      </c>
      <c r="E84" s="37">
        <v>3</v>
      </c>
      <c r="F84" s="37" t="s">
        <v>77</v>
      </c>
      <c r="G84" s="37" t="s">
        <v>77</v>
      </c>
      <c r="H84" s="37" t="s">
        <v>77</v>
      </c>
      <c r="I84" s="37" t="s">
        <v>77</v>
      </c>
      <c r="J84" s="37" t="s">
        <v>77</v>
      </c>
      <c r="K84" s="37" t="s">
        <v>77</v>
      </c>
      <c r="L84" s="37" t="s">
        <v>77</v>
      </c>
      <c r="M84" s="37" t="s">
        <v>77</v>
      </c>
      <c r="N84" s="37" t="s">
        <v>77</v>
      </c>
      <c r="O84" s="37" t="s">
        <v>77</v>
      </c>
      <c r="P84" s="37" t="s">
        <v>77</v>
      </c>
      <c r="Q84" s="37" t="s">
        <v>328</v>
      </c>
    </row>
    <row r="85" spans="1:17" ht="15">
      <c r="A85">
        <v>83</v>
      </c>
      <c r="B85" s="37" t="s">
        <v>295</v>
      </c>
      <c r="C85" s="37" t="s">
        <v>329</v>
      </c>
      <c r="D85" s="37" t="s">
        <v>330</v>
      </c>
      <c r="E85" s="37">
        <v>3</v>
      </c>
      <c r="F85" s="37" t="s">
        <v>77</v>
      </c>
      <c r="G85" s="37" t="s">
        <v>77</v>
      </c>
      <c r="H85" s="37" t="s">
        <v>77</v>
      </c>
      <c r="I85" s="37" t="s">
        <v>77</v>
      </c>
      <c r="J85" s="37" t="s">
        <v>77</v>
      </c>
      <c r="K85" s="37" t="s">
        <v>77</v>
      </c>
      <c r="L85" s="37" t="s">
        <v>77</v>
      </c>
      <c r="M85" s="37" t="s">
        <v>77</v>
      </c>
      <c r="N85" s="37" t="s">
        <v>77</v>
      </c>
      <c r="O85" s="37" t="s">
        <v>77</v>
      </c>
      <c r="P85" s="37" t="s">
        <v>77</v>
      </c>
      <c r="Q85" s="37" t="s">
        <v>331</v>
      </c>
    </row>
    <row r="86" spans="1:17" ht="15">
      <c r="A86">
        <v>84</v>
      </c>
      <c r="B86" s="37" t="s">
        <v>295</v>
      </c>
      <c r="C86" s="37" t="s">
        <v>332</v>
      </c>
      <c r="D86" s="37" t="s">
        <v>333</v>
      </c>
      <c r="E86" s="37">
        <v>3</v>
      </c>
      <c r="F86" s="37" t="s">
        <v>77</v>
      </c>
      <c r="G86" s="37" t="s">
        <v>77</v>
      </c>
      <c r="H86" s="37" t="s">
        <v>77</v>
      </c>
      <c r="I86" s="37" t="s">
        <v>77</v>
      </c>
      <c r="J86" s="37" t="s">
        <v>77</v>
      </c>
      <c r="K86" s="37" t="s">
        <v>77</v>
      </c>
      <c r="L86" s="37" t="s">
        <v>77</v>
      </c>
      <c r="M86" s="37" t="s">
        <v>77</v>
      </c>
      <c r="N86" s="37" t="s">
        <v>77</v>
      </c>
      <c r="O86" s="37" t="s">
        <v>77</v>
      </c>
      <c r="P86" s="37" t="s">
        <v>77</v>
      </c>
      <c r="Q86" s="37" t="s">
        <v>334</v>
      </c>
    </row>
    <row r="87" spans="1:17" ht="15">
      <c r="A87">
        <v>85</v>
      </c>
      <c r="B87" s="37" t="s">
        <v>295</v>
      </c>
      <c r="C87" s="37" t="s">
        <v>335</v>
      </c>
      <c r="D87" s="37" t="s">
        <v>336</v>
      </c>
      <c r="E87" s="37">
        <v>3</v>
      </c>
      <c r="F87" s="37" t="s">
        <v>77</v>
      </c>
      <c r="G87" s="37" t="s">
        <v>77</v>
      </c>
      <c r="H87" s="37" t="s">
        <v>77</v>
      </c>
      <c r="I87" s="37" t="s">
        <v>77</v>
      </c>
      <c r="J87" s="37" t="s">
        <v>77</v>
      </c>
      <c r="K87" s="37" t="s">
        <v>77</v>
      </c>
      <c r="L87" s="37" t="s">
        <v>77</v>
      </c>
      <c r="M87" s="37" t="s">
        <v>77</v>
      </c>
      <c r="N87" s="37" t="s">
        <v>77</v>
      </c>
      <c r="O87" s="37" t="s">
        <v>77</v>
      </c>
      <c r="P87" s="37" t="s">
        <v>77</v>
      </c>
      <c r="Q87" s="37" t="s">
        <v>337</v>
      </c>
    </row>
    <row r="88" spans="1:17" ht="15">
      <c r="A88">
        <v>86</v>
      </c>
      <c r="B88" s="37" t="s">
        <v>295</v>
      </c>
      <c r="C88" s="37" t="s">
        <v>338</v>
      </c>
      <c r="D88" s="37" t="s">
        <v>339</v>
      </c>
      <c r="E88" s="37">
        <v>3</v>
      </c>
      <c r="F88" s="37" t="s">
        <v>77</v>
      </c>
      <c r="G88" s="37" t="s">
        <v>77</v>
      </c>
      <c r="H88" s="37" t="s">
        <v>77</v>
      </c>
      <c r="I88" s="37" t="s">
        <v>77</v>
      </c>
      <c r="J88" s="37" t="s">
        <v>77</v>
      </c>
      <c r="K88" s="37" t="s">
        <v>77</v>
      </c>
      <c r="L88" s="37" t="s">
        <v>77</v>
      </c>
      <c r="M88" s="37" t="s">
        <v>77</v>
      </c>
      <c r="N88" s="37" t="s">
        <v>77</v>
      </c>
      <c r="O88" s="37" t="s">
        <v>77</v>
      </c>
      <c r="P88" s="37" t="s">
        <v>77</v>
      </c>
      <c r="Q88" s="37" t="s">
        <v>340</v>
      </c>
    </row>
    <row r="89" spans="1:17" ht="15">
      <c r="A89">
        <v>87</v>
      </c>
      <c r="B89" s="37" t="s">
        <v>295</v>
      </c>
      <c r="C89" s="37" t="s">
        <v>341</v>
      </c>
      <c r="D89" s="37" t="s">
        <v>342</v>
      </c>
      <c r="E89" s="37">
        <v>3</v>
      </c>
      <c r="F89" s="37" t="s">
        <v>77</v>
      </c>
      <c r="G89" s="37" t="s">
        <v>77</v>
      </c>
      <c r="H89" s="37" t="s">
        <v>77</v>
      </c>
      <c r="I89" s="37" t="s">
        <v>77</v>
      </c>
      <c r="J89" s="37" t="s">
        <v>77</v>
      </c>
      <c r="K89" s="37" t="s">
        <v>77</v>
      </c>
      <c r="L89" s="37" t="s">
        <v>77</v>
      </c>
      <c r="M89" s="37" t="s">
        <v>77</v>
      </c>
      <c r="N89" s="37" t="s">
        <v>77</v>
      </c>
      <c r="O89" s="37" t="s">
        <v>77</v>
      </c>
      <c r="P89" s="37" t="s">
        <v>77</v>
      </c>
      <c r="Q89" s="37" t="s">
        <v>343</v>
      </c>
    </row>
    <row r="90" spans="1:17" ht="15">
      <c r="A90">
        <v>88</v>
      </c>
      <c r="B90" s="37" t="s">
        <v>295</v>
      </c>
      <c r="C90" s="37" t="s">
        <v>344</v>
      </c>
      <c r="D90" s="37" t="s">
        <v>345</v>
      </c>
      <c r="E90" s="37">
        <v>3</v>
      </c>
      <c r="F90" s="37" t="s">
        <v>77</v>
      </c>
      <c r="G90" s="37" t="s">
        <v>77</v>
      </c>
      <c r="H90" s="37" t="s">
        <v>77</v>
      </c>
      <c r="I90" s="37" t="s">
        <v>77</v>
      </c>
      <c r="J90" s="37" t="s">
        <v>77</v>
      </c>
      <c r="K90" s="37" t="s">
        <v>77</v>
      </c>
      <c r="L90" s="37" t="s">
        <v>77</v>
      </c>
      <c r="M90" s="37" t="s">
        <v>77</v>
      </c>
      <c r="N90" s="37" t="s">
        <v>77</v>
      </c>
      <c r="O90" s="37" t="s">
        <v>77</v>
      </c>
      <c r="P90" s="37" t="s">
        <v>77</v>
      </c>
      <c r="Q90" s="37" t="s">
        <v>346</v>
      </c>
    </row>
    <row r="91" spans="1:17" ht="15">
      <c r="A91">
        <v>89</v>
      </c>
      <c r="B91" s="37" t="s">
        <v>295</v>
      </c>
      <c r="C91" s="37" t="s">
        <v>347</v>
      </c>
      <c r="D91" s="37" t="s">
        <v>348</v>
      </c>
      <c r="E91" s="37">
        <v>3</v>
      </c>
      <c r="F91" s="37" t="s">
        <v>77</v>
      </c>
      <c r="G91" s="37" t="s">
        <v>77</v>
      </c>
      <c r="H91" s="37" t="s">
        <v>77</v>
      </c>
      <c r="I91" s="37" t="s">
        <v>77</v>
      </c>
      <c r="J91" s="37" t="s">
        <v>77</v>
      </c>
      <c r="K91" s="37" t="s">
        <v>77</v>
      </c>
      <c r="L91" s="37" t="s">
        <v>77</v>
      </c>
      <c r="M91" s="37" t="s">
        <v>77</v>
      </c>
      <c r="N91" s="37" t="s">
        <v>77</v>
      </c>
      <c r="O91" s="37" t="s">
        <v>77</v>
      </c>
      <c r="P91" s="37" t="s">
        <v>77</v>
      </c>
      <c r="Q91" s="37" t="s">
        <v>349</v>
      </c>
    </row>
    <row r="92" spans="1:17" ht="15">
      <c r="A92">
        <v>90</v>
      </c>
      <c r="B92" s="37" t="s">
        <v>295</v>
      </c>
      <c r="C92" s="37" t="s">
        <v>350</v>
      </c>
      <c r="D92" s="37" t="s">
        <v>351</v>
      </c>
      <c r="E92" s="37">
        <v>3</v>
      </c>
      <c r="F92" s="37" t="s">
        <v>77</v>
      </c>
      <c r="G92" s="37" t="s">
        <v>77</v>
      </c>
      <c r="H92" s="37" t="s">
        <v>77</v>
      </c>
      <c r="I92" s="37" t="s">
        <v>77</v>
      </c>
      <c r="J92" s="37" t="s">
        <v>77</v>
      </c>
      <c r="K92" s="37" t="s">
        <v>77</v>
      </c>
      <c r="L92" s="37" t="s">
        <v>77</v>
      </c>
      <c r="M92" s="37" t="s">
        <v>77</v>
      </c>
      <c r="N92" s="37" t="s">
        <v>77</v>
      </c>
      <c r="O92" s="37" t="s">
        <v>77</v>
      </c>
      <c r="P92" s="37" t="s">
        <v>77</v>
      </c>
      <c r="Q92" s="37" t="s">
        <v>352</v>
      </c>
    </row>
    <row r="93" spans="1:17" ht="15">
      <c r="A93">
        <v>91</v>
      </c>
      <c r="B93" s="37" t="s">
        <v>295</v>
      </c>
      <c r="C93" s="37" t="s">
        <v>353</v>
      </c>
      <c r="D93" s="37" t="s">
        <v>354</v>
      </c>
      <c r="E93" s="37">
        <v>3</v>
      </c>
      <c r="F93" s="37" t="s">
        <v>77</v>
      </c>
      <c r="G93" s="37" t="s">
        <v>77</v>
      </c>
      <c r="H93" s="37" t="s">
        <v>77</v>
      </c>
      <c r="I93" s="37" t="s">
        <v>77</v>
      </c>
      <c r="J93" s="37" t="s">
        <v>77</v>
      </c>
      <c r="K93" s="37" t="s">
        <v>77</v>
      </c>
      <c r="L93" s="37" t="s">
        <v>77</v>
      </c>
      <c r="M93" s="37" t="s">
        <v>77</v>
      </c>
      <c r="N93" s="37" t="s">
        <v>77</v>
      </c>
      <c r="O93" s="37" t="s">
        <v>77</v>
      </c>
      <c r="P93" s="37" t="s">
        <v>77</v>
      </c>
      <c r="Q93" s="37" t="s">
        <v>355</v>
      </c>
    </row>
    <row r="94" spans="1:17" ht="15">
      <c r="A94">
        <v>92</v>
      </c>
      <c r="B94" s="37" t="s">
        <v>295</v>
      </c>
      <c r="C94" s="37" t="s">
        <v>356</v>
      </c>
      <c r="D94" s="37" t="s">
        <v>357</v>
      </c>
      <c r="E94" s="37">
        <v>3</v>
      </c>
      <c r="F94" s="37" t="s">
        <v>77</v>
      </c>
      <c r="G94" s="37" t="s">
        <v>77</v>
      </c>
      <c r="H94" s="37" t="s">
        <v>77</v>
      </c>
      <c r="I94" s="37" t="s">
        <v>77</v>
      </c>
      <c r="J94" s="37" t="s">
        <v>77</v>
      </c>
      <c r="K94" s="37" t="s">
        <v>77</v>
      </c>
      <c r="L94" s="37" t="s">
        <v>77</v>
      </c>
      <c r="M94" s="37" t="s">
        <v>77</v>
      </c>
      <c r="N94" s="37" t="s">
        <v>77</v>
      </c>
      <c r="O94" s="37" t="s">
        <v>77</v>
      </c>
      <c r="P94" s="37" t="s">
        <v>77</v>
      </c>
      <c r="Q94" s="37" t="s">
        <v>358</v>
      </c>
    </row>
    <row r="95" spans="1:17" ht="15">
      <c r="A95">
        <v>93</v>
      </c>
      <c r="B95" s="37" t="s">
        <v>295</v>
      </c>
      <c r="C95" s="37" t="s">
        <v>359</v>
      </c>
      <c r="D95" s="37" t="s">
        <v>206</v>
      </c>
      <c r="E95" s="37">
        <v>3</v>
      </c>
      <c r="F95" s="37" t="s">
        <v>77</v>
      </c>
      <c r="G95" s="37" t="s">
        <v>77</v>
      </c>
      <c r="H95" s="37" t="s">
        <v>77</v>
      </c>
      <c r="I95" s="37" t="s">
        <v>77</v>
      </c>
      <c r="J95" s="37" t="s">
        <v>77</v>
      </c>
      <c r="K95" s="37" t="s">
        <v>77</v>
      </c>
      <c r="L95" s="37" t="s">
        <v>77</v>
      </c>
      <c r="M95" s="37" t="s">
        <v>77</v>
      </c>
      <c r="N95" s="37" t="s">
        <v>77</v>
      </c>
      <c r="O95" s="37" t="s">
        <v>77</v>
      </c>
      <c r="P95" s="37" t="s">
        <v>77</v>
      </c>
      <c r="Q95" s="37" t="s">
        <v>360</v>
      </c>
    </row>
    <row r="96" spans="1:17" ht="15">
      <c r="A96">
        <v>94</v>
      </c>
      <c r="B96" s="37" t="s">
        <v>295</v>
      </c>
      <c r="C96" s="37" t="s">
        <v>361</v>
      </c>
      <c r="D96" s="37" t="s">
        <v>362</v>
      </c>
      <c r="E96" s="37">
        <v>3</v>
      </c>
      <c r="F96" s="37" t="s">
        <v>77</v>
      </c>
      <c r="G96" s="37" t="s">
        <v>77</v>
      </c>
      <c r="H96" s="37" t="s">
        <v>77</v>
      </c>
      <c r="I96" s="37" t="s">
        <v>77</v>
      </c>
      <c r="J96" s="37" t="s">
        <v>77</v>
      </c>
      <c r="K96" s="37" t="s">
        <v>77</v>
      </c>
      <c r="L96" s="37" t="s">
        <v>77</v>
      </c>
      <c r="M96" s="37" t="s">
        <v>77</v>
      </c>
      <c r="N96" s="37" t="s">
        <v>77</v>
      </c>
      <c r="O96" s="37" t="s">
        <v>77</v>
      </c>
      <c r="P96" s="37" t="s">
        <v>77</v>
      </c>
      <c r="Q96" s="37" t="s">
        <v>363</v>
      </c>
    </row>
    <row r="97" spans="1:17" ht="15">
      <c r="A97">
        <v>95</v>
      </c>
      <c r="B97" s="37" t="s">
        <v>295</v>
      </c>
      <c r="C97" s="37" t="s">
        <v>364</v>
      </c>
      <c r="D97" s="37" t="s">
        <v>365</v>
      </c>
      <c r="E97" s="37">
        <v>3</v>
      </c>
      <c r="F97" s="37" t="s">
        <v>77</v>
      </c>
      <c r="G97" s="37" t="s">
        <v>77</v>
      </c>
      <c r="H97" s="37" t="s">
        <v>77</v>
      </c>
      <c r="I97" s="37" t="s">
        <v>77</v>
      </c>
      <c r="J97" s="37" t="s">
        <v>77</v>
      </c>
      <c r="K97" s="37" t="s">
        <v>77</v>
      </c>
      <c r="L97" s="37" t="s">
        <v>77</v>
      </c>
      <c r="M97" s="37" t="s">
        <v>77</v>
      </c>
      <c r="N97" s="37" t="s">
        <v>77</v>
      </c>
      <c r="O97" s="37" t="s">
        <v>77</v>
      </c>
      <c r="P97" s="37" t="s">
        <v>77</v>
      </c>
      <c r="Q97" s="37" t="s">
        <v>366</v>
      </c>
    </row>
    <row r="98" spans="1:17" ht="15">
      <c r="A98">
        <v>96</v>
      </c>
      <c r="B98" s="37" t="s">
        <v>295</v>
      </c>
      <c r="C98" s="37" t="s">
        <v>367</v>
      </c>
      <c r="D98" s="37" t="s">
        <v>368</v>
      </c>
      <c r="E98" s="37">
        <v>3</v>
      </c>
      <c r="F98" s="37" t="s">
        <v>77</v>
      </c>
      <c r="G98" s="37" t="s">
        <v>77</v>
      </c>
      <c r="H98" s="37" t="s">
        <v>77</v>
      </c>
      <c r="I98" s="37" t="s">
        <v>77</v>
      </c>
      <c r="J98" s="37" t="s">
        <v>77</v>
      </c>
      <c r="K98" s="37" t="s">
        <v>77</v>
      </c>
      <c r="L98" s="37" t="s">
        <v>77</v>
      </c>
      <c r="M98" s="37" t="s">
        <v>77</v>
      </c>
      <c r="N98" s="37" t="s">
        <v>77</v>
      </c>
      <c r="O98" s="37" t="s">
        <v>77</v>
      </c>
      <c r="P98" s="37" t="s">
        <v>77</v>
      </c>
      <c r="Q98" s="37" t="s">
        <v>369</v>
      </c>
    </row>
    <row r="99" spans="1:17" ht="15">
      <c r="A99">
        <v>97</v>
      </c>
      <c r="B99" s="37" t="s">
        <v>295</v>
      </c>
      <c r="C99" s="37" t="s">
        <v>370</v>
      </c>
      <c r="D99" s="37" t="s">
        <v>371</v>
      </c>
      <c r="E99" s="37">
        <v>3</v>
      </c>
      <c r="F99" s="37" t="s">
        <v>77</v>
      </c>
      <c r="G99" s="37" t="s">
        <v>77</v>
      </c>
      <c r="H99" s="37" t="s">
        <v>77</v>
      </c>
      <c r="I99" s="37" t="s">
        <v>77</v>
      </c>
      <c r="J99" s="37" t="s">
        <v>77</v>
      </c>
      <c r="K99" s="37" t="s">
        <v>77</v>
      </c>
      <c r="L99" s="37" t="s">
        <v>77</v>
      </c>
      <c r="M99" s="37" t="s">
        <v>77</v>
      </c>
      <c r="N99" s="37" t="s">
        <v>77</v>
      </c>
      <c r="O99" s="37" t="s">
        <v>77</v>
      </c>
      <c r="P99" s="37" t="s">
        <v>77</v>
      </c>
      <c r="Q99" s="37" t="s">
        <v>372</v>
      </c>
    </row>
    <row r="100" spans="1:17" ht="15">
      <c r="A100">
        <v>98</v>
      </c>
      <c r="B100" s="37" t="s">
        <v>295</v>
      </c>
      <c r="C100" s="37" t="s">
        <v>373</v>
      </c>
      <c r="D100" s="37" t="s">
        <v>374</v>
      </c>
      <c r="E100" s="37">
        <v>3</v>
      </c>
      <c r="F100" s="37" t="s">
        <v>77</v>
      </c>
      <c r="G100" s="37" t="s">
        <v>77</v>
      </c>
      <c r="H100" s="37" t="s">
        <v>77</v>
      </c>
      <c r="I100" s="37" t="s">
        <v>77</v>
      </c>
      <c r="J100" s="37" t="s">
        <v>77</v>
      </c>
      <c r="K100" s="37" t="s">
        <v>77</v>
      </c>
      <c r="L100" s="37" t="s">
        <v>77</v>
      </c>
      <c r="M100" s="37" t="s">
        <v>77</v>
      </c>
      <c r="N100" s="37" t="s">
        <v>77</v>
      </c>
      <c r="O100" s="37" t="s">
        <v>77</v>
      </c>
      <c r="P100" s="37" t="s">
        <v>77</v>
      </c>
      <c r="Q100" s="37" t="s">
        <v>375</v>
      </c>
    </row>
    <row r="101" spans="1:17" ht="15">
      <c r="A101">
        <v>99</v>
      </c>
      <c r="B101" s="37" t="s">
        <v>295</v>
      </c>
      <c r="C101" s="37" t="s">
        <v>376</v>
      </c>
      <c r="D101" s="37" t="s">
        <v>377</v>
      </c>
      <c r="E101" s="37">
        <v>3</v>
      </c>
      <c r="F101" s="37" t="s">
        <v>77</v>
      </c>
      <c r="G101" s="37" t="s">
        <v>77</v>
      </c>
      <c r="H101" s="37" t="s">
        <v>77</v>
      </c>
      <c r="I101" s="37" t="s">
        <v>77</v>
      </c>
      <c r="J101" s="37" t="s">
        <v>77</v>
      </c>
      <c r="K101" s="37" t="s">
        <v>77</v>
      </c>
      <c r="L101" s="37" t="s">
        <v>77</v>
      </c>
      <c r="M101" s="37" t="s">
        <v>77</v>
      </c>
      <c r="N101" s="37" t="s">
        <v>77</v>
      </c>
      <c r="O101" s="37" t="s">
        <v>77</v>
      </c>
      <c r="P101" s="37" t="s">
        <v>77</v>
      </c>
      <c r="Q101" s="37" t="s">
        <v>378</v>
      </c>
    </row>
    <row r="102" spans="1:17" ht="15">
      <c r="A102">
        <v>100</v>
      </c>
      <c r="B102" s="37" t="s">
        <v>295</v>
      </c>
      <c r="C102" s="37" t="s">
        <v>379</v>
      </c>
      <c r="D102" s="37" t="s">
        <v>380</v>
      </c>
      <c r="E102" s="37">
        <v>3</v>
      </c>
      <c r="F102" s="37" t="s">
        <v>77</v>
      </c>
      <c r="G102" s="37" t="s">
        <v>77</v>
      </c>
      <c r="H102" s="37" t="s">
        <v>77</v>
      </c>
      <c r="I102" s="37" t="s">
        <v>77</v>
      </c>
      <c r="J102" s="37" t="s">
        <v>77</v>
      </c>
      <c r="K102" s="37" t="s">
        <v>77</v>
      </c>
      <c r="L102" s="37" t="s">
        <v>77</v>
      </c>
      <c r="M102" s="37" t="s">
        <v>77</v>
      </c>
      <c r="N102" s="37" t="s">
        <v>77</v>
      </c>
      <c r="O102" s="37" t="s">
        <v>77</v>
      </c>
      <c r="P102" s="37" t="s">
        <v>77</v>
      </c>
      <c r="Q102" s="37" t="s">
        <v>381</v>
      </c>
    </row>
    <row r="103" spans="1:17" ht="15">
      <c r="A103">
        <v>101</v>
      </c>
      <c r="B103" s="37" t="s">
        <v>295</v>
      </c>
      <c r="C103" s="37" t="s">
        <v>382</v>
      </c>
      <c r="D103" s="37" t="s">
        <v>383</v>
      </c>
      <c r="E103" s="37">
        <v>3</v>
      </c>
      <c r="F103" s="37" t="s">
        <v>77</v>
      </c>
      <c r="G103" s="37" t="s">
        <v>77</v>
      </c>
      <c r="H103" s="37" t="s">
        <v>77</v>
      </c>
      <c r="I103" s="37" t="s">
        <v>77</v>
      </c>
      <c r="J103" s="37" t="s">
        <v>77</v>
      </c>
      <c r="K103" s="37" t="s">
        <v>77</v>
      </c>
      <c r="L103" s="37" t="s">
        <v>77</v>
      </c>
      <c r="M103" s="37" t="s">
        <v>77</v>
      </c>
      <c r="N103" s="37" t="s">
        <v>77</v>
      </c>
      <c r="O103" s="37" t="s">
        <v>77</v>
      </c>
      <c r="P103" s="37" t="s">
        <v>77</v>
      </c>
      <c r="Q103" s="37" t="s">
        <v>384</v>
      </c>
    </row>
    <row r="104" spans="1:17" ht="15">
      <c r="A104">
        <v>102</v>
      </c>
      <c r="B104" s="37" t="s">
        <v>295</v>
      </c>
      <c r="C104" s="37" t="s">
        <v>385</v>
      </c>
      <c r="D104" s="37" t="s">
        <v>386</v>
      </c>
      <c r="E104" s="37">
        <v>3</v>
      </c>
      <c r="F104" s="37" t="s">
        <v>77</v>
      </c>
      <c r="G104" s="37" t="s">
        <v>77</v>
      </c>
      <c r="H104" s="37" t="s">
        <v>77</v>
      </c>
      <c r="I104" s="37" t="s">
        <v>77</v>
      </c>
      <c r="J104" s="37" t="s">
        <v>77</v>
      </c>
      <c r="K104" s="37" t="s">
        <v>77</v>
      </c>
      <c r="L104" s="37" t="s">
        <v>77</v>
      </c>
      <c r="M104" s="37" t="s">
        <v>77</v>
      </c>
      <c r="N104" s="37" t="s">
        <v>77</v>
      </c>
      <c r="O104" s="37" t="s">
        <v>77</v>
      </c>
      <c r="P104" s="37" t="s">
        <v>77</v>
      </c>
      <c r="Q104" s="37" t="s">
        <v>387</v>
      </c>
    </row>
    <row r="105" spans="1:17" ht="15">
      <c r="A105">
        <v>103</v>
      </c>
      <c r="B105" s="37" t="s">
        <v>295</v>
      </c>
      <c r="C105" s="37" t="s">
        <v>388</v>
      </c>
      <c r="D105" s="37" t="s">
        <v>389</v>
      </c>
      <c r="E105" s="37">
        <v>3</v>
      </c>
      <c r="F105" s="37" t="s">
        <v>77</v>
      </c>
      <c r="G105" s="37" t="s">
        <v>77</v>
      </c>
      <c r="H105" s="37" t="s">
        <v>77</v>
      </c>
      <c r="I105" s="37" t="s">
        <v>77</v>
      </c>
      <c r="J105" s="37" t="s">
        <v>77</v>
      </c>
      <c r="K105" s="37" t="s">
        <v>77</v>
      </c>
      <c r="L105" s="37" t="s">
        <v>77</v>
      </c>
      <c r="M105" s="37" t="s">
        <v>77</v>
      </c>
      <c r="N105" s="37" t="s">
        <v>77</v>
      </c>
      <c r="O105" s="37" t="s">
        <v>77</v>
      </c>
      <c r="P105" s="37" t="s">
        <v>77</v>
      </c>
      <c r="Q105" s="37" t="s">
        <v>390</v>
      </c>
    </row>
    <row r="106" spans="1:17" ht="15">
      <c r="A106">
        <v>104</v>
      </c>
      <c r="B106" s="37" t="s">
        <v>295</v>
      </c>
      <c r="C106" s="37" t="s">
        <v>391</v>
      </c>
      <c r="D106" s="37" t="s">
        <v>392</v>
      </c>
      <c r="E106" s="37">
        <v>3</v>
      </c>
      <c r="F106" s="37" t="s">
        <v>77</v>
      </c>
      <c r="G106" s="37" t="s">
        <v>77</v>
      </c>
      <c r="H106" s="37" t="s">
        <v>77</v>
      </c>
      <c r="I106" s="37" t="s">
        <v>77</v>
      </c>
      <c r="J106" s="37" t="s">
        <v>77</v>
      </c>
      <c r="K106" s="37" t="s">
        <v>77</v>
      </c>
      <c r="L106" s="37" t="s">
        <v>77</v>
      </c>
      <c r="M106" s="37" t="s">
        <v>77</v>
      </c>
      <c r="N106" s="37" t="s">
        <v>77</v>
      </c>
      <c r="O106" s="37" t="s">
        <v>77</v>
      </c>
      <c r="P106" s="37" t="s">
        <v>77</v>
      </c>
      <c r="Q106" s="37" t="s">
        <v>393</v>
      </c>
    </row>
    <row r="107" spans="1:17" ht="15">
      <c r="A107">
        <v>105</v>
      </c>
      <c r="B107" s="37" t="s">
        <v>295</v>
      </c>
      <c r="C107" s="37" t="s">
        <v>394</v>
      </c>
      <c r="D107" s="37" t="s">
        <v>395</v>
      </c>
      <c r="E107" s="37">
        <v>3</v>
      </c>
      <c r="F107" s="37" t="s">
        <v>77</v>
      </c>
      <c r="G107" s="37" t="s">
        <v>77</v>
      </c>
      <c r="H107" s="37" t="s">
        <v>77</v>
      </c>
      <c r="I107" s="37" t="s">
        <v>77</v>
      </c>
      <c r="J107" s="37" t="s">
        <v>77</v>
      </c>
      <c r="K107" s="37" t="s">
        <v>77</v>
      </c>
      <c r="L107" s="37" t="s">
        <v>77</v>
      </c>
      <c r="M107" s="37" t="s">
        <v>77</v>
      </c>
      <c r="N107" s="37" t="s">
        <v>77</v>
      </c>
      <c r="O107" s="37" t="s">
        <v>77</v>
      </c>
      <c r="P107" s="37" t="s">
        <v>77</v>
      </c>
      <c r="Q107" s="37" t="s">
        <v>396</v>
      </c>
    </row>
    <row r="108" spans="1:17" ht="15">
      <c r="A108">
        <v>106</v>
      </c>
      <c r="B108" s="37" t="s">
        <v>295</v>
      </c>
      <c r="C108" s="37" t="s">
        <v>397</v>
      </c>
      <c r="D108" s="37" t="s">
        <v>398</v>
      </c>
      <c r="E108" s="37">
        <v>3</v>
      </c>
      <c r="F108" s="37" t="s">
        <v>77</v>
      </c>
      <c r="G108" s="37" t="s">
        <v>77</v>
      </c>
      <c r="H108" s="37" t="s">
        <v>77</v>
      </c>
      <c r="I108" s="37" t="s">
        <v>77</v>
      </c>
      <c r="J108" s="37" t="s">
        <v>77</v>
      </c>
      <c r="K108" s="37" t="s">
        <v>77</v>
      </c>
      <c r="L108" s="37" t="s">
        <v>77</v>
      </c>
      <c r="M108" s="37" t="s">
        <v>77</v>
      </c>
      <c r="N108" s="37" t="s">
        <v>77</v>
      </c>
      <c r="O108" s="37" t="s">
        <v>77</v>
      </c>
      <c r="P108" s="37" t="s">
        <v>77</v>
      </c>
      <c r="Q108" s="37" t="s">
        <v>399</v>
      </c>
    </row>
    <row r="109" spans="1:17" ht="15">
      <c r="A109">
        <v>107</v>
      </c>
      <c r="B109" s="37" t="s">
        <v>295</v>
      </c>
      <c r="C109" s="37" t="s">
        <v>400</v>
      </c>
      <c r="D109" s="37" t="s">
        <v>401</v>
      </c>
      <c r="E109" s="37">
        <v>3</v>
      </c>
      <c r="F109" s="37" t="s">
        <v>77</v>
      </c>
      <c r="G109" s="37" t="s">
        <v>77</v>
      </c>
      <c r="H109" s="37" t="s">
        <v>77</v>
      </c>
      <c r="I109" s="37" t="s">
        <v>77</v>
      </c>
      <c r="J109" s="37" t="s">
        <v>77</v>
      </c>
      <c r="K109" s="37" t="s">
        <v>77</v>
      </c>
      <c r="L109" s="37" t="s">
        <v>77</v>
      </c>
      <c r="M109" s="37" t="s">
        <v>77</v>
      </c>
      <c r="N109" s="37" t="s">
        <v>77</v>
      </c>
      <c r="O109" s="37" t="s">
        <v>77</v>
      </c>
      <c r="P109" s="37" t="s">
        <v>77</v>
      </c>
      <c r="Q109" s="37" t="s">
        <v>402</v>
      </c>
    </row>
    <row r="110" spans="1:17" ht="15">
      <c r="A110">
        <v>108</v>
      </c>
      <c r="B110" s="37" t="s">
        <v>295</v>
      </c>
      <c r="C110" s="37" t="s">
        <v>403</v>
      </c>
      <c r="D110" s="37" t="s">
        <v>404</v>
      </c>
      <c r="E110" s="37">
        <v>3</v>
      </c>
      <c r="F110" s="37" t="s">
        <v>77</v>
      </c>
      <c r="G110" s="37" t="s">
        <v>77</v>
      </c>
      <c r="H110" s="37" t="s">
        <v>77</v>
      </c>
      <c r="I110" s="37" t="s">
        <v>77</v>
      </c>
      <c r="J110" s="37" t="s">
        <v>77</v>
      </c>
      <c r="K110" s="37" t="s">
        <v>77</v>
      </c>
      <c r="L110" s="37" t="s">
        <v>77</v>
      </c>
      <c r="M110" s="37" t="s">
        <v>77</v>
      </c>
      <c r="N110" s="37" t="s">
        <v>77</v>
      </c>
      <c r="O110" s="37" t="s">
        <v>77</v>
      </c>
      <c r="P110" s="37" t="s">
        <v>77</v>
      </c>
      <c r="Q110" s="37" t="s">
        <v>405</v>
      </c>
    </row>
    <row r="111" spans="1:17" ht="15">
      <c r="A111">
        <v>109</v>
      </c>
      <c r="B111" s="37" t="s">
        <v>295</v>
      </c>
      <c r="C111" s="37" t="s">
        <v>406</v>
      </c>
      <c r="D111" s="37" t="s">
        <v>407</v>
      </c>
      <c r="E111" s="37">
        <v>3</v>
      </c>
      <c r="F111" s="37" t="s">
        <v>77</v>
      </c>
      <c r="G111" s="37" t="s">
        <v>77</v>
      </c>
      <c r="H111" s="37" t="s">
        <v>77</v>
      </c>
      <c r="I111" s="37" t="s">
        <v>77</v>
      </c>
      <c r="J111" s="37" t="s">
        <v>77</v>
      </c>
      <c r="K111" s="37" t="s">
        <v>77</v>
      </c>
      <c r="L111" s="37" t="s">
        <v>77</v>
      </c>
      <c r="M111" s="37" t="s">
        <v>77</v>
      </c>
      <c r="N111" s="37" t="s">
        <v>77</v>
      </c>
      <c r="O111" s="37" t="s">
        <v>77</v>
      </c>
      <c r="P111" s="37" t="s">
        <v>77</v>
      </c>
      <c r="Q111" s="37" t="s">
        <v>408</v>
      </c>
    </row>
    <row r="112" spans="1:17" ht="15">
      <c r="A112">
        <v>110</v>
      </c>
      <c r="B112" s="37" t="s">
        <v>295</v>
      </c>
      <c r="C112" s="37" t="s">
        <v>409</v>
      </c>
      <c r="D112" s="37" t="s">
        <v>410</v>
      </c>
      <c r="E112" s="37">
        <v>3</v>
      </c>
      <c r="F112" s="37" t="s">
        <v>77</v>
      </c>
      <c r="G112" s="37" t="s">
        <v>77</v>
      </c>
      <c r="H112" s="37" t="s">
        <v>77</v>
      </c>
      <c r="I112" s="37" t="s">
        <v>77</v>
      </c>
      <c r="J112" s="37" t="s">
        <v>77</v>
      </c>
      <c r="K112" s="37" t="s">
        <v>77</v>
      </c>
      <c r="L112" s="37" t="s">
        <v>77</v>
      </c>
      <c r="M112" s="37" t="s">
        <v>77</v>
      </c>
      <c r="N112" s="37" t="s">
        <v>77</v>
      </c>
      <c r="O112" s="37" t="s">
        <v>77</v>
      </c>
      <c r="P112" s="37" t="s">
        <v>77</v>
      </c>
      <c r="Q112" s="37" t="s">
        <v>411</v>
      </c>
    </row>
    <row r="113" spans="1:17" ht="15">
      <c r="A113">
        <v>111</v>
      </c>
      <c r="B113" s="37" t="s">
        <v>295</v>
      </c>
      <c r="C113" s="37" t="s">
        <v>412</v>
      </c>
      <c r="D113" s="37" t="s">
        <v>413</v>
      </c>
      <c r="E113" s="37">
        <v>3</v>
      </c>
      <c r="F113" s="37" t="s">
        <v>77</v>
      </c>
      <c r="G113" s="37" t="s">
        <v>77</v>
      </c>
      <c r="H113" s="37" t="s">
        <v>77</v>
      </c>
      <c r="I113" s="37" t="s">
        <v>77</v>
      </c>
      <c r="J113" s="37" t="s">
        <v>77</v>
      </c>
      <c r="K113" s="37" t="s">
        <v>77</v>
      </c>
      <c r="L113" s="37" t="s">
        <v>77</v>
      </c>
      <c r="M113" s="37" t="s">
        <v>77</v>
      </c>
      <c r="N113" s="37" t="s">
        <v>77</v>
      </c>
      <c r="O113" s="37" t="s">
        <v>77</v>
      </c>
      <c r="P113" s="37" t="s">
        <v>77</v>
      </c>
      <c r="Q113" s="37" t="s">
        <v>414</v>
      </c>
    </row>
    <row r="114" spans="1:17" ht="15">
      <c r="A114">
        <v>112</v>
      </c>
      <c r="B114" s="37" t="s">
        <v>295</v>
      </c>
      <c r="C114" s="37" t="s">
        <v>415</v>
      </c>
      <c r="D114" s="37" t="s">
        <v>416</v>
      </c>
      <c r="E114" s="37">
        <v>3</v>
      </c>
      <c r="F114" s="37" t="s">
        <v>77</v>
      </c>
      <c r="G114" s="37" t="s">
        <v>77</v>
      </c>
      <c r="H114" s="37" t="s">
        <v>77</v>
      </c>
      <c r="I114" s="37" t="s">
        <v>77</v>
      </c>
      <c r="J114" s="37" t="s">
        <v>77</v>
      </c>
      <c r="K114" s="37" t="s">
        <v>77</v>
      </c>
      <c r="L114" s="37" t="s">
        <v>77</v>
      </c>
      <c r="M114" s="37" t="s">
        <v>77</v>
      </c>
      <c r="N114" s="37" t="s">
        <v>77</v>
      </c>
      <c r="O114" s="37" t="s">
        <v>77</v>
      </c>
      <c r="P114" s="37" t="s">
        <v>77</v>
      </c>
      <c r="Q114" s="37" t="s">
        <v>417</v>
      </c>
    </row>
    <row r="115" spans="1:17" ht="15">
      <c r="A115">
        <v>113</v>
      </c>
      <c r="B115" s="37" t="s">
        <v>295</v>
      </c>
      <c r="C115" s="37" t="s">
        <v>418</v>
      </c>
      <c r="D115" s="37" t="s">
        <v>419</v>
      </c>
      <c r="E115" s="37">
        <v>3</v>
      </c>
      <c r="F115" s="37" t="s">
        <v>77</v>
      </c>
      <c r="G115" s="37" t="s">
        <v>77</v>
      </c>
      <c r="H115" s="37" t="s">
        <v>77</v>
      </c>
      <c r="I115" s="37" t="s">
        <v>77</v>
      </c>
      <c r="J115" s="37" t="s">
        <v>77</v>
      </c>
      <c r="K115" s="37" t="s">
        <v>77</v>
      </c>
      <c r="L115" s="37" t="s">
        <v>77</v>
      </c>
      <c r="M115" s="37" t="s">
        <v>77</v>
      </c>
      <c r="N115" s="37" t="s">
        <v>77</v>
      </c>
      <c r="O115" s="37" t="s">
        <v>77</v>
      </c>
      <c r="P115" s="37" t="s">
        <v>77</v>
      </c>
      <c r="Q115" s="37" t="s">
        <v>420</v>
      </c>
    </row>
    <row r="116" spans="1:17" ht="15">
      <c r="A116">
        <v>114</v>
      </c>
      <c r="B116" s="37" t="s">
        <v>295</v>
      </c>
      <c r="C116" s="37" t="s">
        <v>421</v>
      </c>
      <c r="D116" s="37" t="s">
        <v>422</v>
      </c>
      <c r="E116" s="37">
        <v>3</v>
      </c>
      <c r="F116" s="37" t="s">
        <v>77</v>
      </c>
      <c r="G116" s="37" t="s">
        <v>77</v>
      </c>
      <c r="H116" s="37" t="s">
        <v>77</v>
      </c>
      <c r="I116" s="37" t="s">
        <v>77</v>
      </c>
      <c r="J116" s="37" t="s">
        <v>77</v>
      </c>
      <c r="K116" s="37" t="s">
        <v>77</v>
      </c>
      <c r="L116" s="37" t="s">
        <v>77</v>
      </c>
      <c r="M116" s="37" t="s">
        <v>77</v>
      </c>
      <c r="N116" s="37" t="s">
        <v>77</v>
      </c>
      <c r="O116" s="37" t="s">
        <v>77</v>
      </c>
      <c r="P116" s="37" t="s">
        <v>77</v>
      </c>
      <c r="Q116" s="37" t="s">
        <v>423</v>
      </c>
    </row>
    <row r="117" spans="1:17" ht="15">
      <c r="A117">
        <v>115</v>
      </c>
      <c r="B117" s="37" t="s">
        <v>295</v>
      </c>
      <c r="C117" s="37" t="s">
        <v>424</v>
      </c>
      <c r="D117" s="37" t="s">
        <v>425</v>
      </c>
      <c r="E117" s="37">
        <v>3</v>
      </c>
      <c r="F117" s="37" t="s">
        <v>77</v>
      </c>
      <c r="G117" s="37" t="s">
        <v>77</v>
      </c>
      <c r="H117" s="37" t="s">
        <v>77</v>
      </c>
      <c r="I117" s="37" t="s">
        <v>77</v>
      </c>
      <c r="J117" s="37" t="s">
        <v>77</v>
      </c>
      <c r="K117" s="37" t="s">
        <v>77</v>
      </c>
      <c r="L117" s="37" t="s">
        <v>77</v>
      </c>
      <c r="M117" s="37" t="s">
        <v>77</v>
      </c>
      <c r="N117" s="37" t="s">
        <v>77</v>
      </c>
      <c r="O117" s="37" t="s">
        <v>77</v>
      </c>
      <c r="P117" s="37" t="s">
        <v>77</v>
      </c>
      <c r="Q117" s="37" t="s">
        <v>426</v>
      </c>
    </row>
    <row r="118" spans="1:17" ht="15">
      <c r="A118">
        <v>116</v>
      </c>
      <c r="B118" s="37" t="s">
        <v>295</v>
      </c>
      <c r="C118" s="37" t="s">
        <v>427</v>
      </c>
      <c r="D118" s="37" t="s">
        <v>428</v>
      </c>
      <c r="E118" s="37">
        <v>3</v>
      </c>
      <c r="F118" s="37" t="s">
        <v>77</v>
      </c>
      <c r="G118" s="37" t="s">
        <v>77</v>
      </c>
      <c r="H118" s="37" t="s">
        <v>77</v>
      </c>
      <c r="I118" s="37" t="s">
        <v>77</v>
      </c>
      <c r="J118" s="37" t="s">
        <v>77</v>
      </c>
      <c r="K118" s="37" t="s">
        <v>77</v>
      </c>
      <c r="L118" s="37" t="s">
        <v>77</v>
      </c>
      <c r="M118" s="37" t="s">
        <v>77</v>
      </c>
      <c r="N118" s="37" t="s">
        <v>77</v>
      </c>
      <c r="O118" s="37" t="s">
        <v>77</v>
      </c>
      <c r="P118" s="37" t="s">
        <v>77</v>
      </c>
      <c r="Q118" s="37" t="s">
        <v>429</v>
      </c>
    </row>
    <row r="119" spans="1:17" ht="15">
      <c r="A119">
        <v>117</v>
      </c>
      <c r="B119" s="37" t="s">
        <v>295</v>
      </c>
      <c r="C119" s="37" t="s">
        <v>430</v>
      </c>
      <c r="D119" s="37" t="s">
        <v>431</v>
      </c>
      <c r="E119" s="37">
        <v>3</v>
      </c>
      <c r="F119" s="37" t="s">
        <v>77</v>
      </c>
      <c r="G119" s="37" t="s">
        <v>77</v>
      </c>
      <c r="H119" s="37" t="s">
        <v>77</v>
      </c>
      <c r="I119" s="37" t="s">
        <v>77</v>
      </c>
      <c r="J119" s="37" t="s">
        <v>77</v>
      </c>
      <c r="K119" s="37" t="s">
        <v>77</v>
      </c>
      <c r="L119" s="37" t="s">
        <v>77</v>
      </c>
      <c r="M119" s="37" t="s">
        <v>77</v>
      </c>
      <c r="N119" s="37" t="s">
        <v>77</v>
      </c>
      <c r="O119" s="37" t="s">
        <v>77</v>
      </c>
      <c r="P119" s="37" t="s">
        <v>77</v>
      </c>
      <c r="Q119" s="37" t="s">
        <v>432</v>
      </c>
    </row>
    <row r="120" spans="1:17" ht="15">
      <c r="A120">
        <v>118</v>
      </c>
      <c r="B120" s="37" t="s">
        <v>295</v>
      </c>
      <c r="C120" s="37" t="s">
        <v>433</v>
      </c>
      <c r="D120" s="37" t="s">
        <v>434</v>
      </c>
      <c r="E120" s="37">
        <v>3</v>
      </c>
      <c r="F120" s="37" t="s">
        <v>77</v>
      </c>
      <c r="G120" s="37" t="s">
        <v>77</v>
      </c>
      <c r="H120" s="37" t="s">
        <v>77</v>
      </c>
      <c r="I120" s="37" t="s">
        <v>77</v>
      </c>
      <c r="J120" s="37" t="s">
        <v>77</v>
      </c>
      <c r="K120" s="37" t="s">
        <v>77</v>
      </c>
      <c r="L120" s="37" t="s">
        <v>77</v>
      </c>
      <c r="M120" s="37" t="s">
        <v>77</v>
      </c>
      <c r="N120" s="37" t="s">
        <v>77</v>
      </c>
      <c r="O120" s="37" t="s">
        <v>77</v>
      </c>
      <c r="P120" s="37" t="s">
        <v>77</v>
      </c>
      <c r="Q120" s="37" t="s">
        <v>435</v>
      </c>
    </row>
    <row r="121" spans="1:17" ht="15">
      <c r="A121">
        <v>119</v>
      </c>
      <c r="B121" s="37" t="s">
        <v>295</v>
      </c>
      <c r="C121" s="37" t="s">
        <v>436</v>
      </c>
      <c r="D121" s="37" t="s">
        <v>437</v>
      </c>
      <c r="E121" s="37">
        <v>3</v>
      </c>
      <c r="F121" s="37" t="s">
        <v>77</v>
      </c>
      <c r="G121" s="37" t="s">
        <v>77</v>
      </c>
      <c r="H121" s="37" t="s">
        <v>77</v>
      </c>
      <c r="I121" s="37" t="s">
        <v>77</v>
      </c>
      <c r="J121" s="37" t="s">
        <v>77</v>
      </c>
      <c r="K121" s="37" t="s">
        <v>77</v>
      </c>
      <c r="L121" s="37" t="s">
        <v>77</v>
      </c>
      <c r="M121" s="37" t="s">
        <v>77</v>
      </c>
      <c r="N121" s="37" t="s">
        <v>77</v>
      </c>
      <c r="O121" s="37" t="s">
        <v>77</v>
      </c>
      <c r="P121" s="37" t="s">
        <v>77</v>
      </c>
      <c r="Q121" s="37" t="s">
        <v>438</v>
      </c>
    </row>
    <row r="122" spans="1:17" ht="15">
      <c r="A122">
        <v>120</v>
      </c>
      <c r="B122" s="37" t="s">
        <v>295</v>
      </c>
      <c r="C122" s="37" t="s">
        <v>439</v>
      </c>
      <c r="D122" s="37" t="s">
        <v>440</v>
      </c>
      <c r="E122" s="37">
        <v>3</v>
      </c>
      <c r="F122" s="37" t="s">
        <v>77</v>
      </c>
      <c r="G122" s="37" t="s">
        <v>77</v>
      </c>
      <c r="H122" s="37" t="s">
        <v>77</v>
      </c>
      <c r="I122" s="37" t="s">
        <v>77</v>
      </c>
      <c r="J122" s="37" t="s">
        <v>77</v>
      </c>
      <c r="K122" s="37" t="s">
        <v>77</v>
      </c>
      <c r="L122" s="37" t="s">
        <v>77</v>
      </c>
      <c r="M122" s="37" t="s">
        <v>77</v>
      </c>
      <c r="N122" s="37" t="s">
        <v>77</v>
      </c>
      <c r="O122" s="37" t="s">
        <v>77</v>
      </c>
      <c r="P122" s="37" t="s">
        <v>77</v>
      </c>
      <c r="Q122" s="37" t="s">
        <v>441</v>
      </c>
    </row>
    <row r="123" spans="1:17" ht="15">
      <c r="A123">
        <v>121</v>
      </c>
      <c r="B123" s="37" t="s">
        <v>295</v>
      </c>
      <c r="C123" s="37" t="s">
        <v>442</v>
      </c>
      <c r="D123" s="37" t="s">
        <v>443</v>
      </c>
      <c r="E123" s="37">
        <v>3</v>
      </c>
      <c r="F123" s="37" t="s">
        <v>77</v>
      </c>
      <c r="G123" s="37" t="s">
        <v>77</v>
      </c>
      <c r="H123" s="37" t="s">
        <v>77</v>
      </c>
      <c r="I123" s="37" t="s">
        <v>77</v>
      </c>
      <c r="J123" s="37" t="s">
        <v>77</v>
      </c>
      <c r="K123" s="37" t="s">
        <v>77</v>
      </c>
      <c r="L123" s="37" t="s">
        <v>77</v>
      </c>
      <c r="M123" s="37" t="s">
        <v>77</v>
      </c>
      <c r="N123" s="37" t="s">
        <v>77</v>
      </c>
      <c r="O123" s="37" t="s">
        <v>77</v>
      </c>
      <c r="P123" s="37" t="s">
        <v>77</v>
      </c>
      <c r="Q123" s="37" t="s">
        <v>444</v>
      </c>
    </row>
    <row r="124" spans="1:17" ht="15">
      <c r="A124">
        <v>122</v>
      </c>
      <c r="B124" s="37" t="s">
        <v>295</v>
      </c>
      <c r="C124" s="37" t="s">
        <v>445</v>
      </c>
      <c r="D124" s="37" t="s">
        <v>446</v>
      </c>
      <c r="E124" s="37">
        <v>3</v>
      </c>
      <c r="F124" s="37" t="s">
        <v>77</v>
      </c>
      <c r="G124" s="37" t="s">
        <v>77</v>
      </c>
      <c r="H124" s="37" t="s">
        <v>77</v>
      </c>
      <c r="I124" s="37" t="s">
        <v>77</v>
      </c>
      <c r="J124" s="37" t="s">
        <v>77</v>
      </c>
      <c r="K124" s="37" t="s">
        <v>77</v>
      </c>
      <c r="L124" s="37" t="s">
        <v>77</v>
      </c>
      <c r="M124" s="37" t="s">
        <v>77</v>
      </c>
      <c r="N124" s="37" t="s">
        <v>77</v>
      </c>
      <c r="O124" s="37" t="s">
        <v>77</v>
      </c>
      <c r="P124" s="37" t="s">
        <v>77</v>
      </c>
      <c r="Q124" s="37" t="s">
        <v>447</v>
      </c>
    </row>
    <row r="125" spans="1:17" ht="15">
      <c r="A125">
        <v>123</v>
      </c>
      <c r="B125" s="37" t="s">
        <v>295</v>
      </c>
      <c r="C125" s="37" t="s">
        <v>448</v>
      </c>
      <c r="D125" s="37" t="s">
        <v>449</v>
      </c>
      <c r="E125" s="37">
        <v>3</v>
      </c>
      <c r="F125" s="37" t="s">
        <v>77</v>
      </c>
      <c r="G125" s="37" t="s">
        <v>77</v>
      </c>
      <c r="H125" s="37" t="s">
        <v>77</v>
      </c>
      <c r="I125" s="37" t="s">
        <v>77</v>
      </c>
      <c r="J125" s="37" t="s">
        <v>77</v>
      </c>
      <c r="K125" s="37" t="s">
        <v>77</v>
      </c>
      <c r="L125" s="37" t="s">
        <v>77</v>
      </c>
      <c r="M125" s="37" t="s">
        <v>77</v>
      </c>
      <c r="N125" s="37" t="s">
        <v>77</v>
      </c>
      <c r="O125" s="37" t="s">
        <v>77</v>
      </c>
      <c r="P125" s="37" t="s">
        <v>77</v>
      </c>
      <c r="Q125" s="37" t="s">
        <v>450</v>
      </c>
    </row>
    <row r="126" spans="1:17" ht="15">
      <c r="A126">
        <v>124</v>
      </c>
      <c r="B126" s="37" t="s">
        <v>451</v>
      </c>
      <c r="C126" s="37" t="s">
        <v>452</v>
      </c>
      <c r="D126" s="37" t="s">
        <v>453</v>
      </c>
      <c r="E126" s="37">
        <v>3</v>
      </c>
      <c r="F126" s="37" t="s">
        <v>77</v>
      </c>
      <c r="G126" s="37" t="s">
        <v>77</v>
      </c>
      <c r="H126" s="37" t="s">
        <v>77</v>
      </c>
      <c r="I126" s="37" t="s">
        <v>77</v>
      </c>
      <c r="J126" s="37" t="s">
        <v>77</v>
      </c>
      <c r="K126" s="37" t="s">
        <v>78</v>
      </c>
      <c r="L126" s="37" t="s">
        <v>77</v>
      </c>
      <c r="M126" s="37" t="s">
        <v>77</v>
      </c>
      <c r="N126" s="37" t="s">
        <v>77</v>
      </c>
      <c r="O126" s="37" t="s">
        <v>77</v>
      </c>
      <c r="P126" s="37" t="s">
        <v>77</v>
      </c>
      <c r="Q126" s="37" t="s">
        <v>454</v>
      </c>
    </row>
    <row r="127" spans="1:17" ht="15">
      <c r="A127">
        <v>125</v>
      </c>
      <c r="B127" s="37" t="s">
        <v>451</v>
      </c>
      <c r="C127" s="37" t="s">
        <v>455</v>
      </c>
      <c r="D127" s="37" t="s">
        <v>456</v>
      </c>
      <c r="E127" s="37">
        <v>3</v>
      </c>
      <c r="F127" s="37" t="s">
        <v>77</v>
      </c>
      <c r="G127" s="37" t="s">
        <v>77</v>
      </c>
      <c r="H127" s="37" t="s">
        <v>77</v>
      </c>
      <c r="I127" s="37" t="s">
        <v>77</v>
      </c>
      <c r="J127" s="37" t="s">
        <v>77</v>
      </c>
      <c r="K127" s="37" t="s">
        <v>77</v>
      </c>
      <c r="L127" s="37" t="s">
        <v>77</v>
      </c>
      <c r="M127" s="37" t="s">
        <v>77</v>
      </c>
      <c r="N127" s="37" t="s">
        <v>77</v>
      </c>
      <c r="O127" s="37" t="s">
        <v>77</v>
      </c>
      <c r="P127" s="37" t="s">
        <v>77</v>
      </c>
      <c r="Q127" s="37" t="s">
        <v>457</v>
      </c>
    </row>
    <row r="128" spans="1:17" ht="15">
      <c r="A128">
        <v>126</v>
      </c>
      <c r="B128" s="37" t="s">
        <v>451</v>
      </c>
      <c r="C128" s="37" t="s">
        <v>458</v>
      </c>
      <c r="D128" s="37" t="s">
        <v>459</v>
      </c>
      <c r="E128" s="37">
        <v>3</v>
      </c>
      <c r="F128" s="37" t="s">
        <v>77</v>
      </c>
      <c r="G128" s="37" t="s">
        <v>77</v>
      </c>
      <c r="H128" s="37" t="s">
        <v>77</v>
      </c>
      <c r="I128" s="37" t="s">
        <v>77</v>
      </c>
      <c r="J128" s="37" t="s">
        <v>77</v>
      </c>
      <c r="K128" s="37" t="s">
        <v>77</v>
      </c>
      <c r="L128" s="37" t="s">
        <v>77</v>
      </c>
      <c r="M128" s="37" t="s">
        <v>77</v>
      </c>
      <c r="N128" s="37" t="s">
        <v>77</v>
      </c>
      <c r="O128" s="37" t="s">
        <v>77</v>
      </c>
      <c r="P128" s="37" t="s">
        <v>77</v>
      </c>
      <c r="Q128" s="37" t="s">
        <v>460</v>
      </c>
    </row>
    <row r="129" spans="1:17" ht="15">
      <c r="A129">
        <v>127</v>
      </c>
      <c r="B129" s="37" t="s">
        <v>451</v>
      </c>
      <c r="C129" s="37" t="s">
        <v>461</v>
      </c>
      <c r="D129" s="37" t="s">
        <v>462</v>
      </c>
      <c r="E129" s="37">
        <v>3</v>
      </c>
      <c r="F129" s="37" t="s">
        <v>77</v>
      </c>
      <c r="G129" s="37" t="s">
        <v>77</v>
      </c>
      <c r="H129" s="37" t="s">
        <v>77</v>
      </c>
      <c r="I129" s="37" t="s">
        <v>77</v>
      </c>
      <c r="J129" s="37" t="s">
        <v>77</v>
      </c>
      <c r="K129" s="37" t="s">
        <v>78</v>
      </c>
      <c r="L129" s="37" t="s">
        <v>77</v>
      </c>
      <c r="M129" s="37" t="s">
        <v>77</v>
      </c>
      <c r="N129" s="37" t="s">
        <v>77</v>
      </c>
      <c r="O129" s="37" t="s">
        <v>77</v>
      </c>
      <c r="P129" s="37" t="s">
        <v>77</v>
      </c>
      <c r="Q129" s="37" t="s">
        <v>463</v>
      </c>
    </row>
    <row r="130" spans="1:17" ht="15">
      <c r="A130">
        <v>128</v>
      </c>
      <c r="B130" s="37" t="s">
        <v>451</v>
      </c>
      <c r="C130" s="37" t="s">
        <v>464</v>
      </c>
      <c r="D130" s="37" t="s">
        <v>465</v>
      </c>
      <c r="E130" s="37">
        <v>3</v>
      </c>
      <c r="F130" s="37" t="s">
        <v>77</v>
      </c>
      <c r="G130" s="37" t="s">
        <v>77</v>
      </c>
      <c r="H130" s="37" t="s">
        <v>77</v>
      </c>
      <c r="I130" s="37" t="s">
        <v>77</v>
      </c>
      <c r="J130" s="37" t="s">
        <v>77</v>
      </c>
      <c r="K130" s="37" t="s">
        <v>77</v>
      </c>
      <c r="L130" s="37" t="s">
        <v>77</v>
      </c>
      <c r="M130" s="37" t="s">
        <v>77</v>
      </c>
      <c r="N130" s="37" t="s">
        <v>77</v>
      </c>
      <c r="O130" s="37" t="s">
        <v>77</v>
      </c>
      <c r="P130" s="37" t="s">
        <v>77</v>
      </c>
      <c r="Q130" s="37" t="s">
        <v>466</v>
      </c>
    </row>
    <row r="131" spans="1:17" ht="15">
      <c r="A131">
        <v>129</v>
      </c>
      <c r="B131" s="37" t="s">
        <v>451</v>
      </c>
      <c r="C131" s="37" t="s">
        <v>467</v>
      </c>
      <c r="D131" s="37" t="s">
        <v>468</v>
      </c>
      <c r="E131" s="37">
        <v>3</v>
      </c>
      <c r="F131" s="37" t="s">
        <v>77</v>
      </c>
      <c r="G131" s="37" t="s">
        <v>77</v>
      </c>
      <c r="H131" s="37" t="s">
        <v>77</v>
      </c>
      <c r="I131" s="37" t="s">
        <v>77</v>
      </c>
      <c r="J131" s="37" t="s">
        <v>77</v>
      </c>
      <c r="K131" s="37" t="s">
        <v>77</v>
      </c>
      <c r="L131" s="37" t="s">
        <v>77</v>
      </c>
      <c r="M131" s="37" t="s">
        <v>77</v>
      </c>
      <c r="N131" s="37" t="s">
        <v>77</v>
      </c>
      <c r="O131" s="37" t="s">
        <v>77</v>
      </c>
      <c r="P131" s="37" t="s">
        <v>77</v>
      </c>
      <c r="Q131" s="37" t="s">
        <v>469</v>
      </c>
    </row>
    <row r="132" spans="1:17" ht="15">
      <c r="A132">
        <v>130</v>
      </c>
      <c r="B132" s="37" t="s">
        <v>451</v>
      </c>
      <c r="C132" s="37" t="s">
        <v>470</v>
      </c>
      <c r="D132" s="37" t="s">
        <v>471</v>
      </c>
      <c r="E132" s="37">
        <v>3</v>
      </c>
      <c r="F132" s="37" t="s">
        <v>77</v>
      </c>
      <c r="G132" s="37" t="s">
        <v>77</v>
      </c>
      <c r="H132" s="37" t="s">
        <v>77</v>
      </c>
      <c r="I132" s="37" t="s">
        <v>77</v>
      </c>
      <c r="J132" s="37" t="s">
        <v>77</v>
      </c>
      <c r="K132" s="37" t="s">
        <v>77</v>
      </c>
      <c r="L132" s="37" t="s">
        <v>77</v>
      </c>
      <c r="M132" s="37" t="s">
        <v>77</v>
      </c>
      <c r="N132" s="37" t="s">
        <v>77</v>
      </c>
      <c r="O132" s="37" t="s">
        <v>77</v>
      </c>
      <c r="P132" s="37" t="s">
        <v>77</v>
      </c>
      <c r="Q132" s="37" t="s">
        <v>472</v>
      </c>
    </row>
    <row r="133" spans="1:17" ht="15">
      <c r="A133">
        <v>131</v>
      </c>
      <c r="B133" s="37" t="s">
        <v>451</v>
      </c>
      <c r="C133" s="37" t="s">
        <v>473</v>
      </c>
      <c r="D133" s="37" t="s">
        <v>474</v>
      </c>
      <c r="E133" s="37">
        <v>3</v>
      </c>
      <c r="F133" s="37" t="s">
        <v>77</v>
      </c>
      <c r="G133" s="37" t="s">
        <v>77</v>
      </c>
      <c r="H133" s="37" t="s">
        <v>77</v>
      </c>
      <c r="I133" s="37" t="s">
        <v>77</v>
      </c>
      <c r="J133" s="37" t="s">
        <v>77</v>
      </c>
      <c r="K133" s="37" t="s">
        <v>77</v>
      </c>
      <c r="L133" s="37" t="s">
        <v>77</v>
      </c>
      <c r="M133" s="37" t="s">
        <v>77</v>
      </c>
      <c r="N133" s="37" t="s">
        <v>77</v>
      </c>
      <c r="O133" s="37" t="s">
        <v>77</v>
      </c>
      <c r="P133" s="37" t="s">
        <v>77</v>
      </c>
      <c r="Q133" s="37" t="s">
        <v>475</v>
      </c>
    </row>
    <row r="134" spans="1:17" ht="15">
      <c r="A134">
        <v>132</v>
      </c>
      <c r="B134" s="37" t="s">
        <v>451</v>
      </c>
      <c r="C134" s="37" t="s">
        <v>476</v>
      </c>
      <c r="D134" s="37" t="s">
        <v>477</v>
      </c>
      <c r="E134" s="37">
        <v>3</v>
      </c>
      <c r="F134" s="37" t="s">
        <v>77</v>
      </c>
      <c r="G134" s="37" t="s">
        <v>77</v>
      </c>
      <c r="H134" s="37" t="s">
        <v>77</v>
      </c>
      <c r="I134" s="37" t="s">
        <v>77</v>
      </c>
      <c r="J134" s="37" t="s">
        <v>77</v>
      </c>
      <c r="K134" s="37" t="s">
        <v>77</v>
      </c>
      <c r="L134" s="37" t="s">
        <v>77</v>
      </c>
      <c r="M134" s="37" t="s">
        <v>77</v>
      </c>
      <c r="N134" s="37" t="s">
        <v>77</v>
      </c>
      <c r="O134" s="37" t="s">
        <v>77</v>
      </c>
      <c r="P134" s="37" t="s">
        <v>77</v>
      </c>
      <c r="Q134" s="37" t="s">
        <v>478</v>
      </c>
    </row>
    <row r="135" spans="1:17" ht="15">
      <c r="A135">
        <v>133</v>
      </c>
      <c r="B135" s="37" t="s">
        <v>451</v>
      </c>
      <c r="C135" s="37" t="s">
        <v>479</v>
      </c>
      <c r="D135" s="37" t="s">
        <v>480</v>
      </c>
      <c r="E135" s="37">
        <v>3</v>
      </c>
      <c r="F135" s="37" t="s">
        <v>77</v>
      </c>
      <c r="G135" s="37" t="s">
        <v>77</v>
      </c>
      <c r="H135" s="37" t="s">
        <v>77</v>
      </c>
      <c r="I135" s="37" t="s">
        <v>77</v>
      </c>
      <c r="J135" s="37" t="s">
        <v>77</v>
      </c>
      <c r="K135" s="37" t="s">
        <v>78</v>
      </c>
      <c r="L135" s="37" t="s">
        <v>77</v>
      </c>
      <c r="M135" s="37" t="s">
        <v>77</v>
      </c>
      <c r="N135" s="37" t="s">
        <v>77</v>
      </c>
      <c r="O135" s="37" t="s">
        <v>77</v>
      </c>
      <c r="P135" s="37" t="s">
        <v>77</v>
      </c>
      <c r="Q135" s="37" t="s">
        <v>481</v>
      </c>
    </row>
    <row r="136" spans="1:17" ht="15">
      <c r="A136">
        <v>134</v>
      </c>
      <c r="B136" s="37" t="s">
        <v>451</v>
      </c>
      <c r="C136" s="37" t="s">
        <v>482</v>
      </c>
      <c r="D136" s="37" t="s">
        <v>483</v>
      </c>
      <c r="E136" s="37">
        <v>3</v>
      </c>
      <c r="F136" s="37" t="s">
        <v>77</v>
      </c>
      <c r="G136" s="37" t="s">
        <v>77</v>
      </c>
      <c r="H136" s="37" t="s">
        <v>77</v>
      </c>
      <c r="I136" s="37" t="s">
        <v>77</v>
      </c>
      <c r="J136" s="37" t="s">
        <v>77</v>
      </c>
      <c r="K136" s="37" t="s">
        <v>82</v>
      </c>
      <c r="L136" s="37" t="s">
        <v>77</v>
      </c>
      <c r="M136" s="37" t="s">
        <v>77</v>
      </c>
      <c r="N136" s="37" t="s">
        <v>78</v>
      </c>
      <c r="O136" s="37" t="s">
        <v>77</v>
      </c>
      <c r="P136" s="37" t="s">
        <v>77</v>
      </c>
      <c r="Q136" s="37" t="s">
        <v>484</v>
      </c>
    </row>
    <row r="137" spans="1:17" ht="15">
      <c r="A137">
        <v>135</v>
      </c>
      <c r="B137" s="37" t="s">
        <v>451</v>
      </c>
      <c r="C137" s="37" t="s">
        <v>485</v>
      </c>
      <c r="D137" s="37" t="s">
        <v>486</v>
      </c>
      <c r="E137" s="37">
        <v>3</v>
      </c>
      <c r="F137" s="37" t="s">
        <v>77</v>
      </c>
      <c r="G137" s="37" t="s">
        <v>77</v>
      </c>
      <c r="H137" s="37" t="s">
        <v>77</v>
      </c>
      <c r="I137" s="37" t="s">
        <v>77</v>
      </c>
      <c r="J137" s="37" t="s">
        <v>77</v>
      </c>
      <c r="K137" s="37" t="s">
        <v>77</v>
      </c>
      <c r="L137" s="37" t="s">
        <v>77</v>
      </c>
      <c r="M137" s="37" t="s">
        <v>77</v>
      </c>
      <c r="N137" s="37" t="s">
        <v>77</v>
      </c>
      <c r="O137" s="37" t="s">
        <v>77</v>
      </c>
      <c r="P137" s="37" t="s">
        <v>77</v>
      </c>
      <c r="Q137" s="37" t="s">
        <v>487</v>
      </c>
    </row>
    <row r="138" spans="1:17" ht="15">
      <c r="A138">
        <v>136</v>
      </c>
      <c r="B138" s="37" t="s">
        <v>451</v>
      </c>
      <c r="C138" s="37" t="s">
        <v>488</v>
      </c>
      <c r="D138" s="37" t="s">
        <v>489</v>
      </c>
      <c r="E138" s="37">
        <v>3</v>
      </c>
      <c r="F138" s="37" t="s">
        <v>77</v>
      </c>
      <c r="G138" s="37" t="s">
        <v>77</v>
      </c>
      <c r="H138" s="37" t="s">
        <v>77</v>
      </c>
      <c r="I138" s="37" t="s">
        <v>77</v>
      </c>
      <c r="J138" s="37" t="s">
        <v>77</v>
      </c>
      <c r="K138" s="37" t="s">
        <v>77</v>
      </c>
      <c r="L138" s="37" t="s">
        <v>77</v>
      </c>
      <c r="M138" s="37" t="s">
        <v>77</v>
      </c>
      <c r="N138" s="37" t="s">
        <v>77</v>
      </c>
      <c r="O138" s="37" t="s">
        <v>77</v>
      </c>
      <c r="P138" s="37" t="s">
        <v>77</v>
      </c>
      <c r="Q138" s="37" t="s">
        <v>490</v>
      </c>
    </row>
    <row r="139" spans="1:17" ht="15">
      <c r="A139">
        <v>137</v>
      </c>
      <c r="B139" s="37" t="s">
        <v>451</v>
      </c>
      <c r="C139" s="37" t="s">
        <v>491</v>
      </c>
      <c r="D139" s="37" t="s">
        <v>492</v>
      </c>
      <c r="E139" s="37">
        <v>3</v>
      </c>
      <c r="F139" s="37" t="s">
        <v>77</v>
      </c>
      <c r="G139" s="37" t="s">
        <v>77</v>
      </c>
      <c r="H139" s="37" t="s">
        <v>77</v>
      </c>
      <c r="I139" s="37" t="s">
        <v>77</v>
      </c>
      <c r="J139" s="37" t="s">
        <v>77</v>
      </c>
      <c r="K139" s="37" t="s">
        <v>77</v>
      </c>
      <c r="L139" s="37" t="s">
        <v>77</v>
      </c>
      <c r="M139" s="37" t="s">
        <v>77</v>
      </c>
      <c r="N139" s="37" t="s">
        <v>77</v>
      </c>
      <c r="O139" s="37" t="s">
        <v>77</v>
      </c>
      <c r="P139" s="37" t="s">
        <v>77</v>
      </c>
      <c r="Q139" s="37" t="s">
        <v>493</v>
      </c>
    </row>
    <row r="140" spans="1:17" ht="15">
      <c r="A140">
        <v>138</v>
      </c>
      <c r="B140" s="37" t="s">
        <v>451</v>
      </c>
      <c r="C140" s="37" t="s">
        <v>494</v>
      </c>
      <c r="D140" s="37" t="s">
        <v>495</v>
      </c>
      <c r="E140" s="37">
        <v>3</v>
      </c>
      <c r="F140" s="37" t="s">
        <v>77</v>
      </c>
      <c r="G140" s="37" t="s">
        <v>77</v>
      </c>
      <c r="H140" s="37" t="s">
        <v>77</v>
      </c>
      <c r="I140" s="37" t="s">
        <v>77</v>
      </c>
      <c r="J140" s="37" t="s">
        <v>77</v>
      </c>
      <c r="K140" s="37" t="s">
        <v>77</v>
      </c>
      <c r="L140" s="37" t="s">
        <v>77</v>
      </c>
      <c r="M140" s="37" t="s">
        <v>77</v>
      </c>
      <c r="N140" s="37" t="s">
        <v>77</v>
      </c>
      <c r="O140" s="37" t="s">
        <v>77</v>
      </c>
      <c r="P140" s="37" t="s">
        <v>77</v>
      </c>
      <c r="Q140" s="37" t="s">
        <v>496</v>
      </c>
    </row>
    <row r="141" spans="1:17" ht="15">
      <c r="A141">
        <v>139</v>
      </c>
      <c r="B141" s="37" t="s">
        <v>451</v>
      </c>
      <c r="C141" s="37" t="s">
        <v>497</v>
      </c>
      <c r="D141" s="37" t="s">
        <v>498</v>
      </c>
      <c r="E141" s="37">
        <v>3</v>
      </c>
      <c r="F141" s="37" t="s">
        <v>77</v>
      </c>
      <c r="G141" s="37" t="s">
        <v>77</v>
      </c>
      <c r="H141" s="37" t="s">
        <v>77</v>
      </c>
      <c r="I141" s="37" t="s">
        <v>77</v>
      </c>
      <c r="J141" s="37" t="s">
        <v>77</v>
      </c>
      <c r="K141" s="37" t="s">
        <v>77</v>
      </c>
      <c r="L141" s="37" t="s">
        <v>77</v>
      </c>
      <c r="M141" s="37" t="s">
        <v>77</v>
      </c>
      <c r="N141" s="37" t="s">
        <v>77</v>
      </c>
      <c r="O141" s="37" t="s">
        <v>77</v>
      </c>
      <c r="P141" s="37" t="s">
        <v>77</v>
      </c>
      <c r="Q141" s="37" t="s">
        <v>499</v>
      </c>
    </row>
    <row r="142" spans="1:17" ht="15">
      <c r="A142">
        <v>140</v>
      </c>
      <c r="B142" s="37" t="s">
        <v>451</v>
      </c>
      <c r="C142" s="37" t="s">
        <v>500</v>
      </c>
      <c r="D142" s="37" t="s">
        <v>501</v>
      </c>
      <c r="E142" s="37">
        <v>3</v>
      </c>
      <c r="F142" s="37" t="s">
        <v>77</v>
      </c>
      <c r="G142" s="37" t="s">
        <v>77</v>
      </c>
      <c r="H142" s="37" t="s">
        <v>77</v>
      </c>
      <c r="I142" s="37" t="s">
        <v>77</v>
      </c>
      <c r="J142" s="37" t="s">
        <v>77</v>
      </c>
      <c r="K142" s="37" t="s">
        <v>77</v>
      </c>
      <c r="L142" s="37" t="s">
        <v>77</v>
      </c>
      <c r="M142" s="37" t="s">
        <v>77</v>
      </c>
      <c r="N142" s="37" t="s">
        <v>77</v>
      </c>
      <c r="O142" s="37" t="s">
        <v>77</v>
      </c>
      <c r="P142" s="37" t="s">
        <v>77</v>
      </c>
      <c r="Q142" s="37" t="s">
        <v>502</v>
      </c>
    </row>
    <row r="143" spans="1:17" ht="15">
      <c r="A143">
        <v>141</v>
      </c>
      <c r="B143" s="37" t="s">
        <v>451</v>
      </c>
      <c r="C143" s="37" t="s">
        <v>503</v>
      </c>
      <c r="D143" s="37" t="s">
        <v>504</v>
      </c>
      <c r="E143" s="37">
        <v>3</v>
      </c>
      <c r="F143" s="37" t="s">
        <v>77</v>
      </c>
      <c r="G143" s="37" t="s">
        <v>77</v>
      </c>
      <c r="H143" s="37" t="s">
        <v>77</v>
      </c>
      <c r="I143" s="37" t="s">
        <v>77</v>
      </c>
      <c r="J143" s="37" t="s">
        <v>77</v>
      </c>
      <c r="K143" s="37" t="s">
        <v>77</v>
      </c>
      <c r="L143" s="37" t="s">
        <v>77</v>
      </c>
      <c r="M143" s="37" t="s">
        <v>77</v>
      </c>
      <c r="N143" s="37" t="s">
        <v>77</v>
      </c>
      <c r="O143" s="37" t="s">
        <v>77</v>
      </c>
      <c r="P143" s="37" t="s">
        <v>77</v>
      </c>
      <c r="Q143" s="37" t="s">
        <v>505</v>
      </c>
    </row>
    <row r="144" spans="1:17" ht="15">
      <c r="A144">
        <v>142</v>
      </c>
      <c r="B144" s="37" t="s">
        <v>451</v>
      </c>
      <c r="C144" s="37" t="s">
        <v>506</v>
      </c>
      <c r="D144" s="37" t="s">
        <v>507</v>
      </c>
      <c r="E144" s="37">
        <v>3</v>
      </c>
      <c r="F144" s="37" t="s">
        <v>77</v>
      </c>
      <c r="G144" s="37" t="s">
        <v>77</v>
      </c>
      <c r="H144" s="37" t="s">
        <v>77</v>
      </c>
      <c r="I144" s="37" t="s">
        <v>77</v>
      </c>
      <c r="J144" s="37" t="s">
        <v>77</v>
      </c>
      <c r="K144" s="37" t="s">
        <v>77</v>
      </c>
      <c r="L144" s="37" t="s">
        <v>77</v>
      </c>
      <c r="M144" s="37" t="s">
        <v>77</v>
      </c>
      <c r="N144" s="37" t="s">
        <v>77</v>
      </c>
      <c r="O144" s="37" t="s">
        <v>77</v>
      </c>
      <c r="P144" s="37" t="s">
        <v>77</v>
      </c>
      <c r="Q144" s="37" t="s">
        <v>508</v>
      </c>
    </row>
    <row r="145" spans="1:17" ht="15">
      <c r="A145">
        <v>143</v>
      </c>
      <c r="B145" s="37" t="s">
        <v>451</v>
      </c>
      <c r="C145" s="37" t="s">
        <v>509</v>
      </c>
      <c r="D145" s="37" t="s">
        <v>510</v>
      </c>
      <c r="E145" s="37">
        <v>3</v>
      </c>
      <c r="F145" s="37" t="s">
        <v>77</v>
      </c>
      <c r="G145" s="37" t="s">
        <v>77</v>
      </c>
      <c r="H145" s="37" t="s">
        <v>77</v>
      </c>
      <c r="I145" s="37" t="s">
        <v>77</v>
      </c>
      <c r="J145" s="37" t="s">
        <v>77</v>
      </c>
      <c r="K145" s="37" t="s">
        <v>78</v>
      </c>
      <c r="L145" s="37" t="s">
        <v>77</v>
      </c>
      <c r="M145" s="37" t="s">
        <v>77</v>
      </c>
      <c r="N145" s="37" t="s">
        <v>77</v>
      </c>
      <c r="O145" s="37" t="s">
        <v>77</v>
      </c>
      <c r="P145" s="37" t="s">
        <v>77</v>
      </c>
      <c r="Q145" s="37" t="s">
        <v>511</v>
      </c>
    </row>
    <row r="146" spans="1:17" ht="15">
      <c r="A146">
        <v>144</v>
      </c>
      <c r="B146" s="37" t="s">
        <v>451</v>
      </c>
      <c r="C146" s="37" t="s">
        <v>512</v>
      </c>
      <c r="D146" s="37" t="s">
        <v>513</v>
      </c>
      <c r="E146" s="37">
        <v>3</v>
      </c>
      <c r="F146" s="37" t="s">
        <v>77</v>
      </c>
      <c r="G146" s="37" t="s">
        <v>77</v>
      </c>
      <c r="H146" s="37" t="s">
        <v>77</v>
      </c>
      <c r="I146" s="37" t="s">
        <v>77</v>
      </c>
      <c r="J146" s="37" t="s">
        <v>77</v>
      </c>
      <c r="K146" s="37" t="s">
        <v>78</v>
      </c>
      <c r="L146" s="37" t="s">
        <v>77</v>
      </c>
      <c r="M146" s="37" t="s">
        <v>77</v>
      </c>
      <c r="N146" s="37" t="s">
        <v>77</v>
      </c>
      <c r="O146" s="37" t="s">
        <v>77</v>
      </c>
      <c r="P146" s="37" t="s">
        <v>77</v>
      </c>
      <c r="Q146" s="37" t="s">
        <v>514</v>
      </c>
    </row>
    <row r="147" spans="1:17" ht="15">
      <c r="A147">
        <v>145</v>
      </c>
      <c r="B147" s="37" t="s">
        <v>451</v>
      </c>
      <c r="C147" s="37" t="s">
        <v>515</v>
      </c>
      <c r="D147" s="37" t="s">
        <v>516</v>
      </c>
      <c r="E147" s="37">
        <v>3</v>
      </c>
      <c r="F147" s="37" t="s">
        <v>77</v>
      </c>
      <c r="G147" s="37" t="s">
        <v>77</v>
      </c>
      <c r="H147" s="37" t="s">
        <v>77</v>
      </c>
      <c r="I147" s="37" t="s">
        <v>77</v>
      </c>
      <c r="J147" s="37" t="s">
        <v>77</v>
      </c>
      <c r="K147" s="37" t="s">
        <v>78</v>
      </c>
      <c r="L147" s="37" t="s">
        <v>77</v>
      </c>
      <c r="M147" s="37" t="s">
        <v>77</v>
      </c>
      <c r="N147" s="37" t="s">
        <v>77</v>
      </c>
      <c r="O147" s="37" t="s">
        <v>77</v>
      </c>
      <c r="P147" s="37" t="s">
        <v>77</v>
      </c>
      <c r="Q147" s="37" t="s">
        <v>517</v>
      </c>
    </row>
    <row r="148" spans="1:17" ht="15">
      <c r="A148">
        <v>146</v>
      </c>
      <c r="B148" s="37" t="s">
        <v>451</v>
      </c>
      <c r="C148" s="37" t="s">
        <v>518</v>
      </c>
      <c r="D148" s="37" t="s">
        <v>519</v>
      </c>
      <c r="E148" s="37">
        <v>3</v>
      </c>
      <c r="F148" s="37" t="s">
        <v>77</v>
      </c>
      <c r="G148" s="37" t="s">
        <v>77</v>
      </c>
      <c r="H148" s="37" t="s">
        <v>77</v>
      </c>
      <c r="I148" s="37" t="s">
        <v>77</v>
      </c>
      <c r="J148" s="37" t="s">
        <v>77</v>
      </c>
      <c r="K148" s="37" t="s">
        <v>77</v>
      </c>
      <c r="L148" s="37" t="s">
        <v>77</v>
      </c>
      <c r="M148" s="37" t="s">
        <v>77</v>
      </c>
      <c r="N148" s="37" t="s">
        <v>77</v>
      </c>
      <c r="O148" s="37" t="s">
        <v>77</v>
      </c>
      <c r="P148" s="37" t="s">
        <v>77</v>
      </c>
      <c r="Q148" s="37" t="s">
        <v>520</v>
      </c>
    </row>
    <row r="149" spans="1:17" ht="15">
      <c r="A149">
        <v>147</v>
      </c>
      <c r="B149" s="37" t="s">
        <v>451</v>
      </c>
      <c r="C149" s="37" t="s">
        <v>521</v>
      </c>
      <c r="D149" s="37" t="s">
        <v>522</v>
      </c>
      <c r="E149" s="37">
        <v>3</v>
      </c>
      <c r="F149" s="37" t="s">
        <v>77</v>
      </c>
      <c r="G149" s="37" t="s">
        <v>77</v>
      </c>
      <c r="H149" s="37" t="s">
        <v>77</v>
      </c>
      <c r="I149" s="37" t="s">
        <v>77</v>
      </c>
      <c r="J149" s="37" t="s">
        <v>77</v>
      </c>
      <c r="K149" s="37" t="s">
        <v>78</v>
      </c>
      <c r="L149" s="37" t="s">
        <v>77</v>
      </c>
      <c r="M149" s="37" t="s">
        <v>77</v>
      </c>
      <c r="N149" s="37" t="s">
        <v>77</v>
      </c>
      <c r="O149" s="37" t="s">
        <v>77</v>
      </c>
      <c r="P149" s="37" t="s">
        <v>77</v>
      </c>
      <c r="Q149" s="37" t="s">
        <v>523</v>
      </c>
    </row>
    <row r="150" spans="1:17" ht="15">
      <c r="A150">
        <v>148</v>
      </c>
      <c r="B150" s="37" t="s">
        <v>451</v>
      </c>
      <c r="C150" s="37" t="s">
        <v>524</v>
      </c>
      <c r="D150" s="37" t="s">
        <v>525</v>
      </c>
      <c r="E150" s="37">
        <v>3</v>
      </c>
      <c r="F150" s="37" t="s">
        <v>77</v>
      </c>
      <c r="G150" s="37" t="s">
        <v>77</v>
      </c>
      <c r="H150" s="37" t="s">
        <v>77</v>
      </c>
      <c r="I150" s="37" t="s">
        <v>77</v>
      </c>
      <c r="J150" s="37" t="s">
        <v>77</v>
      </c>
      <c r="K150" s="37" t="s">
        <v>77</v>
      </c>
      <c r="L150" s="37" t="s">
        <v>77</v>
      </c>
      <c r="M150" s="37" t="s">
        <v>77</v>
      </c>
      <c r="N150" s="37" t="s">
        <v>77</v>
      </c>
      <c r="O150" s="37" t="s">
        <v>77</v>
      </c>
      <c r="P150" s="37" t="s">
        <v>77</v>
      </c>
      <c r="Q150" s="37" t="s">
        <v>526</v>
      </c>
    </row>
    <row r="151" spans="1:17" ht="15">
      <c r="A151">
        <v>149</v>
      </c>
      <c r="B151" s="37" t="s">
        <v>451</v>
      </c>
      <c r="C151" s="37" t="s">
        <v>527</v>
      </c>
      <c r="D151" s="37" t="s">
        <v>528</v>
      </c>
      <c r="E151" s="37">
        <v>3</v>
      </c>
      <c r="F151" s="37" t="s">
        <v>77</v>
      </c>
      <c r="G151" s="37" t="s">
        <v>77</v>
      </c>
      <c r="H151" s="37" t="s">
        <v>77</v>
      </c>
      <c r="I151" s="37" t="s">
        <v>77</v>
      </c>
      <c r="J151" s="37" t="s">
        <v>77</v>
      </c>
      <c r="K151" s="37" t="s">
        <v>78</v>
      </c>
      <c r="L151" s="37" t="s">
        <v>77</v>
      </c>
      <c r="M151" s="37" t="s">
        <v>77</v>
      </c>
      <c r="N151" s="37" t="s">
        <v>77</v>
      </c>
      <c r="O151" s="37" t="s">
        <v>77</v>
      </c>
      <c r="P151" s="37" t="s">
        <v>77</v>
      </c>
      <c r="Q151" s="37" t="s">
        <v>529</v>
      </c>
    </row>
    <row r="152" spans="1:17" ht="15">
      <c r="A152">
        <v>150</v>
      </c>
      <c r="B152" s="37" t="s">
        <v>451</v>
      </c>
      <c r="C152" s="37" t="s">
        <v>530</v>
      </c>
      <c r="D152" s="37" t="s">
        <v>531</v>
      </c>
      <c r="E152" s="37">
        <v>3</v>
      </c>
      <c r="F152" s="37" t="s">
        <v>77</v>
      </c>
      <c r="G152" s="37" t="s">
        <v>77</v>
      </c>
      <c r="H152" s="37" t="s">
        <v>77</v>
      </c>
      <c r="I152" s="37" t="s">
        <v>77</v>
      </c>
      <c r="J152" s="37" t="s">
        <v>77</v>
      </c>
      <c r="K152" s="37" t="s">
        <v>77</v>
      </c>
      <c r="L152" s="37" t="s">
        <v>77</v>
      </c>
      <c r="M152" s="37" t="s">
        <v>77</v>
      </c>
      <c r="N152" s="37" t="s">
        <v>77</v>
      </c>
      <c r="O152" s="37" t="s">
        <v>77</v>
      </c>
      <c r="P152" s="37" t="s">
        <v>77</v>
      </c>
      <c r="Q152" s="37" t="s">
        <v>532</v>
      </c>
    </row>
    <row r="153" spans="1:17" ht="15">
      <c r="A153">
        <v>151</v>
      </c>
      <c r="B153" s="37" t="s">
        <v>451</v>
      </c>
      <c r="C153" s="37" t="s">
        <v>533</v>
      </c>
      <c r="D153" s="37" t="s">
        <v>534</v>
      </c>
      <c r="E153" s="37">
        <v>3</v>
      </c>
      <c r="F153" s="37" t="s">
        <v>77</v>
      </c>
      <c r="G153" s="37" t="s">
        <v>77</v>
      </c>
      <c r="H153" s="37" t="s">
        <v>77</v>
      </c>
      <c r="I153" s="37" t="s">
        <v>77</v>
      </c>
      <c r="J153" s="37" t="s">
        <v>77</v>
      </c>
      <c r="K153" s="37" t="s">
        <v>77</v>
      </c>
      <c r="L153" s="37" t="s">
        <v>77</v>
      </c>
      <c r="M153" s="37" t="s">
        <v>77</v>
      </c>
      <c r="N153" s="37" t="s">
        <v>77</v>
      </c>
      <c r="O153" s="37" t="s">
        <v>77</v>
      </c>
      <c r="P153" s="37" t="s">
        <v>77</v>
      </c>
      <c r="Q153" s="37" t="s">
        <v>535</v>
      </c>
    </row>
    <row r="154" spans="1:17" ht="15">
      <c r="A154">
        <v>152</v>
      </c>
      <c r="B154" s="37" t="s">
        <v>451</v>
      </c>
      <c r="C154" s="37" t="s">
        <v>536</v>
      </c>
      <c r="D154" s="37" t="s">
        <v>537</v>
      </c>
      <c r="E154" s="37">
        <v>3</v>
      </c>
      <c r="F154" s="37" t="s">
        <v>77</v>
      </c>
      <c r="G154" s="37" t="s">
        <v>77</v>
      </c>
      <c r="H154" s="37" t="s">
        <v>77</v>
      </c>
      <c r="I154" s="37" t="s">
        <v>77</v>
      </c>
      <c r="J154" s="37" t="s">
        <v>77</v>
      </c>
      <c r="K154" s="37" t="s">
        <v>77</v>
      </c>
      <c r="L154" s="37" t="s">
        <v>77</v>
      </c>
      <c r="M154" s="37" t="s">
        <v>77</v>
      </c>
      <c r="N154" s="37" t="s">
        <v>77</v>
      </c>
      <c r="O154" s="37" t="s">
        <v>77</v>
      </c>
      <c r="P154" s="37" t="s">
        <v>77</v>
      </c>
      <c r="Q154" s="37" t="s">
        <v>538</v>
      </c>
    </row>
    <row r="155" spans="1:17" ht="15">
      <c r="A155">
        <v>153</v>
      </c>
      <c r="B155" s="37" t="s">
        <v>451</v>
      </c>
      <c r="C155" s="37" t="s">
        <v>539</v>
      </c>
      <c r="D155" s="37" t="s">
        <v>540</v>
      </c>
      <c r="E155" s="37">
        <v>3</v>
      </c>
      <c r="F155" s="37" t="s">
        <v>77</v>
      </c>
      <c r="G155" s="37" t="s">
        <v>77</v>
      </c>
      <c r="H155" s="37" t="s">
        <v>77</v>
      </c>
      <c r="I155" s="37" t="s">
        <v>77</v>
      </c>
      <c r="J155" s="37" t="s">
        <v>77</v>
      </c>
      <c r="K155" s="37" t="s">
        <v>78</v>
      </c>
      <c r="L155" s="37" t="s">
        <v>77</v>
      </c>
      <c r="M155" s="37" t="s">
        <v>77</v>
      </c>
      <c r="N155" s="37" t="s">
        <v>77</v>
      </c>
      <c r="O155" s="37" t="s">
        <v>77</v>
      </c>
      <c r="P155" s="37" t="s">
        <v>77</v>
      </c>
      <c r="Q155" s="37" t="s">
        <v>541</v>
      </c>
    </row>
    <row r="156" spans="1:17" ht="15">
      <c r="A156">
        <v>154</v>
      </c>
      <c r="B156" s="37" t="s">
        <v>451</v>
      </c>
      <c r="C156" s="37" t="s">
        <v>542</v>
      </c>
      <c r="D156" s="37" t="s">
        <v>543</v>
      </c>
      <c r="E156" s="37">
        <v>3</v>
      </c>
      <c r="F156" s="37" t="s">
        <v>77</v>
      </c>
      <c r="G156" s="37" t="s">
        <v>77</v>
      </c>
      <c r="H156" s="37" t="s">
        <v>77</v>
      </c>
      <c r="I156" s="37" t="s">
        <v>77</v>
      </c>
      <c r="J156" s="37" t="s">
        <v>77</v>
      </c>
      <c r="K156" s="37" t="s">
        <v>78</v>
      </c>
      <c r="L156" s="37" t="s">
        <v>77</v>
      </c>
      <c r="M156" s="37" t="s">
        <v>77</v>
      </c>
      <c r="N156" s="37" t="s">
        <v>77</v>
      </c>
      <c r="O156" s="37" t="s">
        <v>77</v>
      </c>
      <c r="P156" s="37" t="s">
        <v>77</v>
      </c>
      <c r="Q156" s="37" t="s">
        <v>544</v>
      </c>
    </row>
    <row r="157" spans="1:17" ht="15">
      <c r="A157">
        <v>155</v>
      </c>
      <c r="B157" s="37" t="s">
        <v>451</v>
      </c>
      <c r="C157" s="37" t="s">
        <v>545</v>
      </c>
      <c r="D157" s="37" t="s">
        <v>546</v>
      </c>
      <c r="E157" s="37">
        <v>3</v>
      </c>
      <c r="F157" s="37" t="s">
        <v>77</v>
      </c>
      <c r="G157" s="37" t="s">
        <v>77</v>
      </c>
      <c r="H157" s="37" t="s">
        <v>77</v>
      </c>
      <c r="I157" s="37" t="s">
        <v>77</v>
      </c>
      <c r="J157" s="37" t="s">
        <v>77</v>
      </c>
      <c r="K157" s="37" t="s">
        <v>77</v>
      </c>
      <c r="L157" s="37" t="s">
        <v>77</v>
      </c>
      <c r="M157" s="37" t="s">
        <v>77</v>
      </c>
      <c r="N157" s="37" t="s">
        <v>77</v>
      </c>
      <c r="O157" s="37" t="s">
        <v>77</v>
      </c>
      <c r="P157" s="37" t="s">
        <v>77</v>
      </c>
      <c r="Q157" s="37" t="s">
        <v>547</v>
      </c>
    </row>
    <row r="158" spans="1:17" ht="15">
      <c r="A158">
        <v>156</v>
      </c>
      <c r="B158" s="37" t="s">
        <v>451</v>
      </c>
      <c r="C158" s="37" t="s">
        <v>548</v>
      </c>
      <c r="D158" s="37" t="s">
        <v>549</v>
      </c>
      <c r="E158" s="37">
        <v>3</v>
      </c>
      <c r="F158" s="37" t="s">
        <v>77</v>
      </c>
      <c r="G158" s="37" t="s">
        <v>77</v>
      </c>
      <c r="H158" s="37" t="s">
        <v>77</v>
      </c>
      <c r="I158" s="37" t="s">
        <v>77</v>
      </c>
      <c r="J158" s="37" t="s">
        <v>77</v>
      </c>
      <c r="K158" s="37" t="s">
        <v>77</v>
      </c>
      <c r="L158" s="37" t="s">
        <v>77</v>
      </c>
      <c r="M158" s="37" t="s">
        <v>77</v>
      </c>
      <c r="N158" s="37" t="s">
        <v>77</v>
      </c>
      <c r="O158" s="37" t="s">
        <v>77</v>
      </c>
      <c r="P158" s="37" t="s">
        <v>77</v>
      </c>
      <c r="Q158" s="37" t="s">
        <v>550</v>
      </c>
    </row>
    <row r="159" spans="1:17" ht="15">
      <c r="A159">
        <v>157</v>
      </c>
      <c r="B159" s="37" t="s">
        <v>451</v>
      </c>
      <c r="C159" s="37" t="s">
        <v>551</v>
      </c>
      <c r="D159" s="37" t="s">
        <v>552</v>
      </c>
      <c r="E159" s="37">
        <v>3</v>
      </c>
      <c r="F159" s="37" t="s">
        <v>77</v>
      </c>
      <c r="G159" s="37" t="s">
        <v>77</v>
      </c>
      <c r="H159" s="37" t="s">
        <v>77</v>
      </c>
      <c r="I159" s="37" t="s">
        <v>77</v>
      </c>
      <c r="J159" s="37" t="s">
        <v>77</v>
      </c>
      <c r="K159" s="37" t="s">
        <v>77</v>
      </c>
      <c r="L159" s="37" t="s">
        <v>77</v>
      </c>
      <c r="M159" s="37" t="s">
        <v>77</v>
      </c>
      <c r="N159" s="37" t="s">
        <v>77</v>
      </c>
      <c r="O159" s="37" t="s">
        <v>77</v>
      </c>
      <c r="P159" s="37" t="s">
        <v>77</v>
      </c>
      <c r="Q159" s="37" t="s">
        <v>553</v>
      </c>
    </row>
    <row r="160" spans="1:17" ht="15">
      <c r="A160">
        <v>158</v>
      </c>
      <c r="B160" s="37" t="s">
        <v>451</v>
      </c>
      <c r="C160" s="37" t="s">
        <v>554</v>
      </c>
      <c r="D160" s="37" t="s">
        <v>555</v>
      </c>
      <c r="E160" s="37">
        <v>3</v>
      </c>
      <c r="F160" s="37" t="s">
        <v>77</v>
      </c>
      <c r="G160" s="37" t="s">
        <v>77</v>
      </c>
      <c r="H160" s="37" t="s">
        <v>77</v>
      </c>
      <c r="I160" s="37" t="s">
        <v>77</v>
      </c>
      <c r="J160" s="37" t="s">
        <v>77</v>
      </c>
      <c r="K160" s="37" t="s">
        <v>77</v>
      </c>
      <c r="L160" s="37" t="s">
        <v>77</v>
      </c>
      <c r="M160" s="37" t="s">
        <v>77</v>
      </c>
      <c r="N160" s="37" t="s">
        <v>77</v>
      </c>
      <c r="O160" s="37" t="s">
        <v>77</v>
      </c>
      <c r="P160" s="37" t="s">
        <v>77</v>
      </c>
      <c r="Q160" s="37" t="s">
        <v>556</v>
      </c>
    </row>
    <row r="161" spans="1:17" ht="15">
      <c r="A161">
        <v>159</v>
      </c>
      <c r="B161" s="37" t="s">
        <v>451</v>
      </c>
      <c r="C161" s="37" t="s">
        <v>557</v>
      </c>
      <c r="D161" s="37" t="s">
        <v>558</v>
      </c>
      <c r="E161" s="37">
        <v>3</v>
      </c>
      <c r="F161" s="37" t="s">
        <v>77</v>
      </c>
      <c r="G161" s="37" t="s">
        <v>77</v>
      </c>
      <c r="H161" s="37" t="s">
        <v>77</v>
      </c>
      <c r="I161" s="37" t="s">
        <v>77</v>
      </c>
      <c r="J161" s="37" t="s">
        <v>77</v>
      </c>
      <c r="K161" s="37" t="s">
        <v>77</v>
      </c>
      <c r="L161" s="37" t="s">
        <v>77</v>
      </c>
      <c r="M161" s="37" t="s">
        <v>77</v>
      </c>
      <c r="N161" s="37" t="s">
        <v>77</v>
      </c>
      <c r="O161" s="37" t="s">
        <v>77</v>
      </c>
      <c r="P161" s="37" t="s">
        <v>77</v>
      </c>
      <c r="Q161" s="37" t="s">
        <v>559</v>
      </c>
    </row>
    <row r="162" spans="1:17" ht="15">
      <c r="A162">
        <v>160</v>
      </c>
      <c r="B162" s="37" t="s">
        <v>451</v>
      </c>
      <c r="C162" s="37" t="s">
        <v>560</v>
      </c>
      <c r="D162" s="37" t="s">
        <v>561</v>
      </c>
      <c r="E162" s="37">
        <v>3</v>
      </c>
      <c r="F162" s="37" t="s">
        <v>77</v>
      </c>
      <c r="G162" s="37" t="s">
        <v>77</v>
      </c>
      <c r="H162" s="37" t="s">
        <v>77</v>
      </c>
      <c r="I162" s="37" t="s">
        <v>77</v>
      </c>
      <c r="J162" s="37" t="s">
        <v>77</v>
      </c>
      <c r="K162" s="37" t="s">
        <v>77</v>
      </c>
      <c r="L162" s="37" t="s">
        <v>77</v>
      </c>
      <c r="M162" s="37" t="s">
        <v>77</v>
      </c>
      <c r="N162" s="37" t="s">
        <v>77</v>
      </c>
      <c r="O162" s="37" t="s">
        <v>77</v>
      </c>
      <c r="P162" s="37" t="s">
        <v>77</v>
      </c>
      <c r="Q162" s="37" t="s">
        <v>562</v>
      </c>
    </row>
    <row r="163" spans="1:17" ht="15">
      <c r="A163">
        <v>161</v>
      </c>
      <c r="B163" s="37" t="s">
        <v>451</v>
      </c>
      <c r="C163" s="37" t="s">
        <v>563</v>
      </c>
      <c r="D163" s="37" t="s">
        <v>564</v>
      </c>
      <c r="E163" s="37">
        <v>3</v>
      </c>
      <c r="F163" s="37" t="s">
        <v>77</v>
      </c>
      <c r="G163" s="37" t="s">
        <v>77</v>
      </c>
      <c r="H163" s="37" t="s">
        <v>77</v>
      </c>
      <c r="I163" s="37" t="s">
        <v>77</v>
      </c>
      <c r="J163" s="37" t="s">
        <v>77</v>
      </c>
      <c r="K163" s="37" t="s">
        <v>78</v>
      </c>
      <c r="L163" s="37" t="s">
        <v>77</v>
      </c>
      <c r="M163" s="37" t="s">
        <v>77</v>
      </c>
      <c r="N163" s="37" t="s">
        <v>77</v>
      </c>
      <c r="O163" s="37" t="s">
        <v>77</v>
      </c>
      <c r="P163" s="37" t="s">
        <v>77</v>
      </c>
      <c r="Q163" s="37" t="s">
        <v>565</v>
      </c>
    </row>
    <row r="164" spans="1:17" ht="15">
      <c r="A164">
        <v>162</v>
      </c>
      <c r="B164" s="37" t="s">
        <v>451</v>
      </c>
      <c r="C164" s="37" t="s">
        <v>566</v>
      </c>
      <c r="D164" s="37" t="s">
        <v>567</v>
      </c>
      <c r="E164" s="37">
        <v>3</v>
      </c>
      <c r="F164" s="37" t="s">
        <v>77</v>
      </c>
      <c r="G164" s="37" t="s">
        <v>77</v>
      </c>
      <c r="H164" s="37" t="s">
        <v>77</v>
      </c>
      <c r="I164" s="37" t="s">
        <v>77</v>
      </c>
      <c r="J164" s="37" t="s">
        <v>77</v>
      </c>
      <c r="K164" s="37" t="s">
        <v>78</v>
      </c>
      <c r="L164" s="37" t="s">
        <v>77</v>
      </c>
      <c r="M164" s="37" t="s">
        <v>77</v>
      </c>
      <c r="N164" s="37" t="s">
        <v>77</v>
      </c>
      <c r="O164" s="37" t="s">
        <v>77</v>
      </c>
      <c r="P164" s="37" t="s">
        <v>77</v>
      </c>
      <c r="Q164" s="37" t="s">
        <v>568</v>
      </c>
    </row>
    <row r="165" spans="1:17" ht="15">
      <c r="A165">
        <v>163</v>
      </c>
      <c r="B165" s="37" t="s">
        <v>451</v>
      </c>
      <c r="C165" s="37" t="s">
        <v>569</v>
      </c>
      <c r="D165" s="37" t="s">
        <v>570</v>
      </c>
      <c r="E165" s="37">
        <v>3</v>
      </c>
      <c r="F165" s="37" t="s">
        <v>77</v>
      </c>
      <c r="G165" s="37" t="s">
        <v>77</v>
      </c>
      <c r="H165" s="37" t="s">
        <v>77</v>
      </c>
      <c r="I165" s="37" t="s">
        <v>77</v>
      </c>
      <c r="J165" s="37" t="s">
        <v>77</v>
      </c>
      <c r="K165" s="37" t="s">
        <v>77</v>
      </c>
      <c r="L165" s="37" t="s">
        <v>77</v>
      </c>
      <c r="M165" s="37" t="s">
        <v>77</v>
      </c>
      <c r="N165" s="37" t="s">
        <v>77</v>
      </c>
      <c r="O165" s="37" t="s">
        <v>77</v>
      </c>
      <c r="P165" s="37" t="s">
        <v>77</v>
      </c>
      <c r="Q165" s="37" t="s">
        <v>571</v>
      </c>
    </row>
    <row r="166" spans="1:17" ht="15">
      <c r="A166">
        <v>164</v>
      </c>
      <c r="B166" s="37" t="s">
        <v>451</v>
      </c>
      <c r="C166" s="37" t="s">
        <v>572</v>
      </c>
      <c r="D166" s="37" t="s">
        <v>573</v>
      </c>
      <c r="E166" s="37">
        <v>3</v>
      </c>
      <c r="F166" s="37" t="s">
        <v>77</v>
      </c>
      <c r="G166" s="37" t="s">
        <v>77</v>
      </c>
      <c r="H166" s="37" t="s">
        <v>77</v>
      </c>
      <c r="I166" s="37" t="s">
        <v>77</v>
      </c>
      <c r="J166" s="37" t="s">
        <v>77</v>
      </c>
      <c r="K166" s="37" t="s">
        <v>77</v>
      </c>
      <c r="L166" s="37" t="s">
        <v>77</v>
      </c>
      <c r="M166" s="37" t="s">
        <v>77</v>
      </c>
      <c r="N166" s="37" t="s">
        <v>77</v>
      </c>
      <c r="O166" s="37" t="s">
        <v>77</v>
      </c>
      <c r="P166" s="37" t="s">
        <v>77</v>
      </c>
      <c r="Q166" s="37" t="s">
        <v>574</v>
      </c>
    </row>
    <row r="167" spans="1:17" ht="15">
      <c r="A167">
        <v>165</v>
      </c>
      <c r="B167" s="37" t="s">
        <v>451</v>
      </c>
      <c r="C167" s="37" t="s">
        <v>575</v>
      </c>
      <c r="D167" s="37" t="s">
        <v>576</v>
      </c>
      <c r="E167" s="37">
        <v>3</v>
      </c>
      <c r="F167" s="37" t="s">
        <v>77</v>
      </c>
      <c r="G167" s="37" t="s">
        <v>77</v>
      </c>
      <c r="H167" s="37" t="s">
        <v>77</v>
      </c>
      <c r="I167" s="37" t="s">
        <v>77</v>
      </c>
      <c r="J167" s="37" t="s">
        <v>77</v>
      </c>
      <c r="K167" s="37" t="s">
        <v>78</v>
      </c>
      <c r="L167" s="37" t="s">
        <v>77</v>
      </c>
      <c r="M167" s="37" t="s">
        <v>77</v>
      </c>
      <c r="N167" s="37" t="s">
        <v>77</v>
      </c>
      <c r="O167" s="37" t="s">
        <v>77</v>
      </c>
      <c r="P167" s="37" t="s">
        <v>77</v>
      </c>
      <c r="Q167" s="37" t="s">
        <v>577</v>
      </c>
    </row>
    <row r="168" spans="1:17" ht="15">
      <c r="A168">
        <v>166</v>
      </c>
      <c r="B168" s="37" t="s">
        <v>451</v>
      </c>
      <c r="C168" s="37" t="s">
        <v>578</v>
      </c>
      <c r="D168" s="37" t="s">
        <v>579</v>
      </c>
      <c r="E168" s="37">
        <v>3</v>
      </c>
      <c r="F168" s="37" t="s">
        <v>77</v>
      </c>
      <c r="G168" s="37" t="s">
        <v>77</v>
      </c>
      <c r="H168" s="37" t="s">
        <v>77</v>
      </c>
      <c r="I168" s="37" t="s">
        <v>77</v>
      </c>
      <c r="J168" s="37" t="s">
        <v>77</v>
      </c>
      <c r="K168" s="37" t="s">
        <v>77</v>
      </c>
      <c r="L168" s="37" t="s">
        <v>77</v>
      </c>
      <c r="M168" s="37" t="s">
        <v>77</v>
      </c>
      <c r="N168" s="37" t="s">
        <v>77</v>
      </c>
      <c r="O168" s="37" t="s">
        <v>77</v>
      </c>
      <c r="P168" s="37" t="s">
        <v>77</v>
      </c>
      <c r="Q168" s="37" t="s">
        <v>580</v>
      </c>
    </row>
    <row r="169" spans="1:17" ht="15">
      <c r="A169">
        <v>167</v>
      </c>
      <c r="B169" s="37" t="s">
        <v>451</v>
      </c>
      <c r="C169" s="37" t="s">
        <v>581</v>
      </c>
      <c r="D169" s="37" t="s">
        <v>582</v>
      </c>
      <c r="E169" s="37">
        <v>3</v>
      </c>
      <c r="F169" s="37" t="s">
        <v>77</v>
      </c>
      <c r="G169" s="37" t="s">
        <v>77</v>
      </c>
      <c r="H169" s="37" t="s">
        <v>77</v>
      </c>
      <c r="I169" s="37" t="s">
        <v>77</v>
      </c>
      <c r="J169" s="37" t="s">
        <v>77</v>
      </c>
      <c r="K169" s="37" t="s">
        <v>77</v>
      </c>
      <c r="L169" s="37" t="s">
        <v>77</v>
      </c>
      <c r="M169" s="37" t="s">
        <v>77</v>
      </c>
      <c r="N169" s="37" t="s">
        <v>77</v>
      </c>
      <c r="O169" s="37" t="s">
        <v>77</v>
      </c>
      <c r="P169" s="37" t="s">
        <v>77</v>
      </c>
      <c r="Q169" s="37" t="s">
        <v>583</v>
      </c>
    </row>
    <row r="170" spans="1:17" ht="15">
      <c r="A170">
        <v>168</v>
      </c>
      <c r="B170" s="37" t="s">
        <v>451</v>
      </c>
      <c r="C170" s="37" t="s">
        <v>584</v>
      </c>
      <c r="D170" s="37" t="s">
        <v>585</v>
      </c>
      <c r="E170" s="37">
        <v>3</v>
      </c>
      <c r="F170" s="37" t="s">
        <v>77</v>
      </c>
      <c r="G170" s="37" t="s">
        <v>77</v>
      </c>
      <c r="H170" s="37" t="s">
        <v>77</v>
      </c>
      <c r="I170" s="37" t="s">
        <v>77</v>
      </c>
      <c r="J170" s="37" t="s">
        <v>77</v>
      </c>
      <c r="K170" s="37" t="s">
        <v>78</v>
      </c>
      <c r="L170" s="37" t="s">
        <v>77</v>
      </c>
      <c r="M170" s="37" t="s">
        <v>77</v>
      </c>
      <c r="N170" s="37" t="s">
        <v>77</v>
      </c>
      <c r="O170" s="37" t="s">
        <v>77</v>
      </c>
      <c r="P170" s="37" t="s">
        <v>77</v>
      </c>
      <c r="Q170" s="37" t="s">
        <v>586</v>
      </c>
    </row>
    <row r="171" spans="1:17" ht="15">
      <c r="A171">
        <v>169</v>
      </c>
      <c r="B171" s="37" t="s">
        <v>451</v>
      </c>
      <c r="C171" s="37" t="s">
        <v>587</v>
      </c>
      <c r="D171" s="37" t="s">
        <v>588</v>
      </c>
      <c r="E171" s="37">
        <v>3</v>
      </c>
      <c r="F171" s="37" t="s">
        <v>77</v>
      </c>
      <c r="G171" s="37" t="s">
        <v>77</v>
      </c>
      <c r="H171" s="37" t="s">
        <v>77</v>
      </c>
      <c r="I171" s="37" t="s">
        <v>77</v>
      </c>
      <c r="J171" s="37" t="s">
        <v>77</v>
      </c>
      <c r="K171" s="37" t="s">
        <v>77</v>
      </c>
      <c r="L171" s="37" t="s">
        <v>77</v>
      </c>
      <c r="M171" s="37" t="s">
        <v>77</v>
      </c>
      <c r="N171" s="37" t="s">
        <v>77</v>
      </c>
      <c r="O171" s="37" t="s">
        <v>77</v>
      </c>
      <c r="P171" s="37" t="s">
        <v>77</v>
      </c>
      <c r="Q171" s="37" t="s">
        <v>589</v>
      </c>
    </row>
    <row r="172" spans="1:17" ht="15">
      <c r="A172">
        <v>170</v>
      </c>
      <c r="B172" s="37" t="s">
        <v>451</v>
      </c>
      <c r="C172" s="37" t="s">
        <v>590</v>
      </c>
      <c r="D172" s="37" t="s">
        <v>591</v>
      </c>
      <c r="E172" s="37">
        <v>3</v>
      </c>
      <c r="F172" s="37" t="s">
        <v>77</v>
      </c>
      <c r="G172" s="37" t="s">
        <v>77</v>
      </c>
      <c r="H172" s="37" t="s">
        <v>77</v>
      </c>
      <c r="I172" s="37" t="s">
        <v>77</v>
      </c>
      <c r="J172" s="37" t="s">
        <v>77</v>
      </c>
      <c r="K172" s="37" t="s">
        <v>77</v>
      </c>
      <c r="L172" s="37" t="s">
        <v>77</v>
      </c>
      <c r="M172" s="37" t="s">
        <v>77</v>
      </c>
      <c r="N172" s="37" t="s">
        <v>77</v>
      </c>
      <c r="O172" s="37" t="s">
        <v>77</v>
      </c>
      <c r="P172" s="37" t="s">
        <v>77</v>
      </c>
      <c r="Q172" s="37" t="s">
        <v>592</v>
      </c>
    </row>
    <row r="173" spans="1:17" ht="15">
      <c r="A173">
        <v>171</v>
      </c>
      <c r="B173" s="37" t="s">
        <v>451</v>
      </c>
      <c r="C173" s="37" t="s">
        <v>593</v>
      </c>
      <c r="D173" s="37" t="s">
        <v>594</v>
      </c>
      <c r="E173" s="37">
        <v>3</v>
      </c>
      <c r="F173" s="37" t="s">
        <v>77</v>
      </c>
      <c r="G173" s="37" t="s">
        <v>77</v>
      </c>
      <c r="H173" s="37" t="s">
        <v>77</v>
      </c>
      <c r="I173" s="37" t="s">
        <v>77</v>
      </c>
      <c r="J173" s="37" t="s">
        <v>77</v>
      </c>
      <c r="K173" s="37" t="s">
        <v>77</v>
      </c>
      <c r="L173" s="37" t="s">
        <v>77</v>
      </c>
      <c r="M173" s="37" t="s">
        <v>77</v>
      </c>
      <c r="N173" s="37" t="s">
        <v>77</v>
      </c>
      <c r="O173" s="37" t="s">
        <v>77</v>
      </c>
      <c r="P173" s="37" t="s">
        <v>77</v>
      </c>
      <c r="Q173" s="37" t="s">
        <v>595</v>
      </c>
    </row>
    <row r="174" spans="1:17" ht="15">
      <c r="A174">
        <v>172</v>
      </c>
      <c r="B174" s="37" t="s">
        <v>451</v>
      </c>
      <c r="C174" s="37" t="s">
        <v>596</v>
      </c>
      <c r="D174" s="37" t="s">
        <v>597</v>
      </c>
      <c r="E174" s="37">
        <v>3</v>
      </c>
      <c r="F174" s="37" t="s">
        <v>77</v>
      </c>
      <c r="G174" s="37" t="s">
        <v>77</v>
      </c>
      <c r="H174" s="37" t="s">
        <v>77</v>
      </c>
      <c r="I174" s="37" t="s">
        <v>77</v>
      </c>
      <c r="J174" s="37" t="s">
        <v>77</v>
      </c>
      <c r="K174" s="37" t="s">
        <v>77</v>
      </c>
      <c r="L174" s="37" t="s">
        <v>77</v>
      </c>
      <c r="M174" s="37" t="s">
        <v>77</v>
      </c>
      <c r="N174" s="37" t="s">
        <v>77</v>
      </c>
      <c r="O174" s="37" t="s">
        <v>77</v>
      </c>
      <c r="P174" s="37" t="s">
        <v>77</v>
      </c>
      <c r="Q174" s="37" t="s">
        <v>598</v>
      </c>
    </row>
    <row r="175" spans="1:17" ht="15">
      <c r="A175">
        <v>173</v>
      </c>
      <c r="B175" s="37" t="s">
        <v>451</v>
      </c>
      <c r="C175" s="37" t="s">
        <v>599</v>
      </c>
      <c r="D175" s="37" t="s">
        <v>600</v>
      </c>
      <c r="E175" s="37">
        <v>3</v>
      </c>
      <c r="F175" s="37" t="s">
        <v>77</v>
      </c>
      <c r="G175" s="37" t="s">
        <v>77</v>
      </c>
      <c r="H175" s="37" t="s">
        <v>77</v>
      </c>
      <c r="I175" s="37" t="s">
        <v>77</v>
      </c>
      <c r="J175" s="37" t="s">
        <v>77</v>
      </c>
      <c r="K175" s="37" t="s">
        <v>77</v>
      </c>
      <c r="L175" s="37" t="s">
        <v>77</v>
      </c>
      <c r="M175" s="37" t="s">
        <v>77</v>
      </c>
      <c r="N175" s="37" t="s">
        <v>77</v>
      </c>
      <c r="O175" s="37" t="s">
        <v>77</v>
      </c>
      <c r="P175" s="37" t="s">
        <v>77</v>
      </c>
      <c r="Q175" s="37" t="s">
        <v>601</v>
      </c>
    </row>
    <row r="176" spans="1:17" ht="15">
      <c r="A176">
        <v>174</v>
      </c>
      <c r="B176" s="37" t="s">
        <v>451</v>
      </c>
      <c r="C176" s="37" t="s">
        <v>602</v>
      </c>
      <c r="D176" s="37" t="s">
        <v>603</v>
      </c>
      <c r="E176" s="37">
        <v>3</v>
      </c>
      <c r="F176" s="37" t="s">
        <v>77</v>
      </c>
      <c r="G176" s="37" t="s">
        <v>77</v>
      </c>
      <c r="H176" s="37" t="s">
        <v>77</v>
      </c>
      <c r="I176" s="37" t="s">
        <v>77</v>
      </c>
      <c r="J176" s="37" t="s">
        <v>77</v>
      </c>
      <c r="K176" s="37" t="s">
        <v>77</v>
      </c>
      <c r="L176" s="37" t="s">
        <v>77</v>
      </c>
      <c r="M176" s="37" t="s">
        <v>77</v>
      </c>
      <c r="N176" s="37" t="s">
        <v>77</v>
      </c>
      <c r="O176" s="37" t="s">
        <v>77</v>
      </c>
      <c r="P176" s="37" t="s">
        <v>77</v>
      </c>
      <c r="Q176" s="37" t="s">
        <v>604</v>
      </c>
    </row>
    <row r="177" spans="1:17" ht="15">
      <c r="A177">
        <v>175</v>
      </c>
      <c r="B177" s="37" t="s">
        <v>451</v>
      </c>
      <c r="C177" s="37" t="s">
        <v>605</v>
      </c>
      <c r="D177" s="37" t="s">
        <v>606</v>
      </c>
      <c r="E177" s="37">
        <v>3</v>
      </c>
      <c r="F177" s="37" t="s">
        <v>77</v>
      </c>
      <c r="G177" s="37" t="s">
        <v>77</v>
      </c>
      <c r="H177" s="37" t="s">
        <v>77</v>
      </c>
      <c r="I177" s="37" t="s">
        <v>77</v>
      </c>
      <c r="J177" s="37" t="s">
        <v>77</v>
      </c>
      <c r="K177" s="37" t="s">
        <v>77</v>
      </c>
      <c r="L177" s="37" t="s">
        <v>77</v>
      </c>
      <c r="M177" s="37" t="s">
        <v>77</v>
      </c>
      <c r="N177" s="37" t="s">
        <v>77</v>
      </c>
      <c r="O177" s="37" t="s">
        <v>77</v>
      </c>
      <c r="P177" s="37" t="s">
        <v>77</v>
      </c>
      <c r="Q177" s="37" t="s">
        <v>607</v>
      </c>
    </row>
    <row r="178" spans="1:17" ht="15">
      <c r="A178">
        <v>176</v>
      </c>
      <c r="B178" s="37" t="s">
        <v>451</v>
      </c>
      <c r="C178" s="37" t="s">
        <v>608</v>
      </c>
      <c r="D178" s="37" t="s">
        <v>609</v>
      </c>
      <c r="E178" s="37">
        <v>3</v>
      </c>
      <c r="F178" s="37" t="s">
        <v>77</v>
      </c>
      <c r="G178" s="37" t="s">
        <v>77</v>
      </c>
      <c r="H178" s="37" t="s">
        <v>77</v>
      </c>
      <c r="I178" s="37" t="s">
        <v>77</v>
      </c>
      <c r="J178" s="37" t="s">
        <v>77</v>
      </c>
      <c r="K178" s="37" t="s">
        <v>77</v>
      </c>
      <c r="L178" s="37" t="s">
        <v>77</v>
      </c>
      <c r="M178" s="37" t="s">
        <v>77</v>
      </c>
      <c r="N178" s="37" t="s">
        <v>77</v>
      </c>
      <c r="O178" s="37" t="s">
        <v>77</v>
      </c>
      <c r="P178" s="37" t="s">
        <v>77</v>
      </c>
      <c r="Q178" s="37" t="s">
        <v>610</v>
      </c>
    </row>
    <row r="179" spans="1:17" ht="15">
      <c r="A179">
        <v>177</v>
      </c>
      <c r="B179" s="37" t="s">
        <v>451</v>
      </c>
      <c r="C179" s="37" t="s">
        <v>611</v>
      </c>
      <c r="D179" s="37" t="s">
        <v>612</v>
      </c>
      <c r="E179" s="37">
        <v>3</v>
      </c>
      <c r="F179" s="37" t="s">
        <v>77</v>
      </c>
      <c r="G179" s="37" t="s">
        <v>77</v>
      </c>
      <c r="H179" s="37" t="s">
        <v>77</v>
      </c>
      <c r="I179" s="37" t="s">
        <v>77</v>
      </c>
      <c r="J179" s="37" t="s">
        <v>77</v>
      </c>
      <c r="K179" s="37" t="s">
        <v>77</v>
      </c>
      <c r="L179" s="37" t="s">
        <v>77</v>
      </c>
      <c r="M179" s="37" t="s">
        <v>77</v>
      </c>
      <c r="N179" s="37" t="s">
        <v>77</v>
      </c>
      <c r="O179" s="37" t="s">
        <v>77</v>
      </c>
      <c r="P179" s="37" t="s">
        <v>77</v>
      </c>
      <c r="Q179" s="37" t="s">
        <v>613</v>
      </c>
    </row>
    <row r="180" spans="1:17" ht="15">
      <c r="A180">
        <v>178</v>
      </c>
      <c r="B180" s="37" t="s">
        <v>614</v>
      </c>
      <c r="C180" s="37" t="s">
        <v>615</v>
      </c>
      <c r="D180" s="37" t="s">
        <v>616</v>
      </c>
      <c r="E180" s="37">
        <v>3</v>
      </c>
      <c r="F180" s="37" t="s">
        <v>77</v>
      </c>
      <c r="G180" s="37" t="s">
        <v>77</v>
      </c>
      <c r="H180" s="37" t="s">
        <v>77</v>
      </c>
      <c r="I180" s="37" t="s">
        <v>77</v>
      </c>
      <c r="J180" s="37" t="s">
        <v>77</v>
      </c>
      <c r="K180" s="37" t="s">
        <v>77</v>
      </c>
      <c r="L180" s="37" t="s">
        <v>77</v>
      </c>
      <c r="M180" s="37" t="s">
        <v>77</v>
      </c>
      <c r="N180" s="37" t="s">
        <v>77</v>
      </c>
      <c r="O180" s="37" t="s">
        <v>77</v>
      </c>
      <c r="P180" s="37" t="s">
        <v>77</v>
      </c>
      <c r="Q180" s="37" t="s">
        <v>617</v>
      </c>
    </row>
    <row r="181" spans="1:17" ht="15">
      <c r="A181">
        <v>179</v>
      </c>
      <c r="B181" s="37" t="s">
        <v>614</v>
      </c>
      <c r="C181" s="37" t="s">
        <v>618</v>
      </c>
      <c r="D181" s="37" t="s">
        <v>619</v>
      </c>
      <c r="E181" s="37">
        <v>3</v>
      </c>
      <c r="F181" s="37" t="s">
        <v>77</v>
      </c>
      <c r="G181" s="37" t="s">
        <v>77</v>
      </c>
      <c r="H181" s="37" t="s">
        <v>77</v>
      </c>
      <c r="I181" s="37" t="s">
        <v>77</v>
      </c>
      <c r="J181" s="37" t="s">
        <v>77</v>
      </c>
      <c r="K181" s="37" t="s">
        <v>77</v>
      </c>
      <c r="L181" s="37" t="s">
        <v>77</v>
      </c>
      <c r="M181" s="37" t="s">
        <v>77</v>
      </c>
      <c r="N181" s="37" t="s">
        <v>77</v>
      </c>
      <c r="O181" s="37" t="s">
        <v>77</v>
      </c>
      <c r="P181" s="37" t="s">
        <v>77</v>
      </c>
      <c r="Q181" s="37" t="s">
        <v>620</v>
      </c>
    </row>
    <row r="182" spans="1:17" ht="15">
      <c r="A182">
        <v>180</v>
      </c>
      <c r="B182" s="37" t="s">
        <v>614</v>
      </c>
      <c r="C182" s="37" t="s">
        <v>621</v>
      </c>
      <c r="D182" s="37" t="s">
        <v>622</v>
      </c>
      <c r="E182" s="37">
        <v>3</v>
      </c>
      <c r="F182" s="37" t="s">
        <v>77</v>
      </c>
      <c r="G182" s="37" t="s">
        <v>77</v>
      </c>
      <c r="H182" s="37" t="s">
        <v>77</v>
      </c>
      <c r="I182" s="37" t="s">
        <v>77</v>
      </c>
      <c r="J182" s="37" t="s">
        <v>77</v>
      </c>
      <c r="K182" s="37" t="s">
        <v>77</v>
      </c>
      <c r="L182" s="37" t="s">
        <v>77</v>
      </c>
      <c r="M182" s="37" t="s">
        <v>77</v>
      </c>
      <c r="N182" s="37" t="s">
        <v>77</v>
      </c>
      <c r="O182" s="37" t="s">
        <v>77</v>
      </c>
      <c r="P182" s="37" t="s">
        <v>77</v>
      </c>
      <c r="Q182" s="37" t="s">
        <v>623</v>
      </c>
    </row>
    <row r="183" spans="1:17" ht="15">
      <c r="A183">
        <v>181</v>
      </c>
      <c r="B183" s="37" t="s">
        <v>614</v>
      </c>
      <c r="C183" s="37" t="s">
        <v>624</v>
      </c>
      <c r="D183" s="37" t="s">
        <v>625</v>
      </c>
      <c r="E183" s="37">
        <v>3</v>
      </c>
      <c r="F183" s="37" t="s">
        <v>77</v>
      </c>
      <c r="G183" s="37" t="s">
        <v>77</v>
      </c>
      <c r="H183" s="37" t="s">
        <v>77</v>
      </c>
      <c r="I183" s="37" t="s">
        <v>77</v>
      </c>
      <c r="J183" s="37" t="s">
        <v>77</v>
      </c>
      <c r="K183" s="37" t="s">
        <v>77</v>
      </c>
      <c r="L183" s="37" t="s">
        <v>77</v>
      </c>
      <c r="M183" s="37" t="s">
        <v>77</v>
      </c>
      <c r="N183" s="37" t="s">
        <v>77</v>
      </c>
      <c r="O183" s="37" t="s">
        <v>77</v>
      </c>
      <c r="P183" s="37" t="s">
        <v>77</v>
      </c>
      <c r="Q183" s="37" t="s">
        <v>626</v>
      </c>
    </row>
    <row r="184" spans="1:17" ht="15">
      <c r="A184">
        <v>182</v>
      </c>
      <c r="B184" s="37" t="s">
        <v>614</v>
      </c>
      <c r="C184" s="37" t="s">
        <v>627</v>
      </c>
      <c r="D184" s="37" t="s">
        <v>628</v>
      </c>
      <c r="E184" s="37">
        <v>3</v>
      </c>
      <c r="F184" s="37" t="s">
        <v>77</v>
      </c>
      <c r="G184" s="37" t="s">
        <v>77</v>
      </c>
      <c r="H184" s="37" t="s">
        <v>77</v>
      </c>
      <c r="I184" s="37" t="s">
        <v>77</v>
      </c>
      <c r="J184" s="37" t="s">
        <v>77</v>
      </c>
      <c r="K184" s="37" t="s">
        <v>77</v>
      </c>
      <c r="L184" s="37" t="s">
        <v>77</v>
      </c>
      <c r="M184" s="37" t="s">
        <v>77</v>
      </c>
      <c r="N184" s="37" t="s">
        <v>77</v>
      </c>
      <c r="O184" s="37" t="s">
        <v>77</v>
      </c>
      <c r="P184" s="37" t="s">
        <v>77</v>
      </c>
      <c r="Q184" s="37" t="s">
        <v>629</v>
      </c>
    </row>
    <row r="185" spans="1:17" ht="15">
      <c r="A185">
        <v>183</v>
      </c>
      <c r="B185" s="37" t="s">
        <v>614</v>
      </c>
      <c r="C185" s="37" t="s">
        <v>630</v>
      </c>
      <c r="D185" s="37" t="s">
        <v>631</v>
      </c>
      <c r="E185" s="37">
        <v>3</v>
      </c>
      <c r="F185" s="37" t="s">
        <v>77</v>
      </c>
      <c r="G185" s="37" t="s">
        <v>77</v>
      </c>
      <c r="H185" s="37" t="s">
        <v>77</v>
      </c>
      <c r="I185" s="37" t="s">
        <v>77</v>
      </c>
      <c r="J185" s="37" t="s">
        <v>77</v>
      </c>
      <c r="K185" s="37" t="s">
        <v>77</v>
      </c>
      <c r="L185" s="37" t="s">
        <v>77</v>
      </c>
      <c r="M185" s="37" t="s">
        <v>77</v>
      </c>
      <c r="N185" s="37" t="s">
        <v>77</v>
      </c>
      <c r="O185" s="37" t="s">
        <v>77</v>
      </c>
      <c r="P185" s="37" t="s">
        <v>77</v>
      </c>
      <c r="Q185" s="37" t="s">
        <v>632</v>
      </c>
    </row>
    <row r="186" spans="1:17" ht="15">
      <c r="A186">
        <v>184</v>
      </c>
      <c r="B186" s="37" t="s">
        <v>614</v>
      </c>
      <c r="C186" s="37" t="s">
        <v>633</v>
      </c>
      <c r="D186" s="37" t="s">
        <v>634</v>
      </c>
      <c r="E186" s="37">
        <v>3</v>
      </c>
      <c r="F186" s="37" t="s">
        <v>77</v>
      </c>
      <c r="G186" s="37" t="s">
        <v>77</v>
      </c>
      <c r="H186" s="37" t="s">
        <v>77</v>
      </c>
      <c r="I186" s="37" t="s">
        <v>77</v>
      </c>
      <c r="J186" s="37" t="s">
        <v>77</v>
      </c>
      <c r="K186" s="37" t="s">
        <v>77</v>
      </c>
      <c r="L186" s="37" t="s">
        <v>77</v>
      </c>
      <c r="M186" s="37" t="s">
        <v>77</v>
      </c>
      <c r="N186" s="37" t="s">
        <v>77</v>
      </c>
      <c r="O186" s="37" t="s">
        <v>77</v>
      </c>
      <c r="P186" s="37" t="s">
        <v>77</v>
      </c>
      <c r="Q186" s="37" t="s">
        <v>635</v>
      </c>
    </row>
    <row r="187" spans="1:17" ht="15">
      <c r="A187">
        <v>185</v>
      </c>
      <c r="B187" s="37" t="s">
        <v>614</v>
      </c>
      <c r="C187" s="37" t="s">
        <v>636</v>
      </c>
      <c r="D187" s="37" t="s">
        <v>637</v>
      </c>
      <c r="E187" s="37">
        <v>3</v>
      </c>
      <c r="F187" s="37" t="s">
        <v>77</v>
      </c>
      <c r="G187" s="37" t="s">
        <v>77</v>
      </c>
      <c r="H187" s="37" t="s">
        <v>77</v>
      </c>
      <c r="I187" s="37" t="s">
        <v>77</v>
      </c>
      <c r="J187" s="37" t="s">
        <v>77</v>
      </c>
      <c r="K187" s="37" t="s">
        <v>77</v>
      </c>
      <c r="L187" s="37" t="s">
        <v>77</v>
      </c>
      <c r="M187" s="37" t="s">
        <v>77</v>
      </c>
      <c r="N187" s="37" t="s">
        <v>77</v>
      </c>
      <c r="O187" s="37" t="s">
        <v>77</v>
      </c>
      <c r="P187" s="37" t="s">
        <v>77</v>
      </c>
      <c r="Q187" s="37" t="s">
        <v>638</v>
      </c>
    </row>
    <row r="188" spans="1:17" ht="15">
      <c r="A188">
        <v>186</v>
      </c>
      <c r="B188" s="37" t="s">
        <v>614</v>
      </c>
      <c r="C188" s="37" t="s">
        <v>639</v>
      </c>
      <c r="D188" s="37" t="s">
        <v>640</v>
      </c>
      <c r="E188" s="37">
        <v>3</v>
      </c>
      <c r="F188" s="37" t="s">
        <v>77</v>
      </c>
      <c r="G188" s="37" t="s">
        <v>77</v>
      </c>
      <c r="H188" s="37" t="s">
        <v>77</v>
      </c>
      <c r="I188" s="37" t="s">
        <v>77</v>
      </c>
      <c r="J188" s="37" t="s">
        <v>77</v>
      </c>
      <c r="K188" s="37" t="s">
        <v>77</v>
      </c>
      <c r="L188" s="37" t="s">
        <v>77</v>
      </c>
      <c r="M188" s="37" t="s">
        <v>77</v>
      </c>
      <c r="N188" s="37" t="s">
        <v>77</v>
      </c>
      <c r="O188" s="37" t="s">
        <v>77</v>
      </c>
      <c r="P188" s="37" t="s">
        <v>77</v>
      </c>
      <c r="Q188" s="37" t="s">
        <v>641</v>
      </c>
    </row>
    <row r="189" spans="1:17" ht="15">
      <c r="A189">
        <v>187</v>
      </c>
      <c r="B189" s="37" t="s">
        <v>614</v>
      </c>
      <c r="C189" s="37" t="s">
        <v>642</v>
      </c>
      <c r="D189" s="37" t="s">
        <v>643</v>
      </c>
      <c r="E189" s="37">
        <v>3</v>
      </c>
      <c r="F189" s="37" t="s">
        <v>77</v>
      </c>
      <c r="G189" s="37" t="s">
        <v>77</v>
      </c>
      <c r="H189" s="37" t="s">
        <v>77</v>
      </c>
      <c r="I189" s="37" t="s">
        <v>77</v>
      </c>
      <c r="J189" s="37" t="s">
        <v>77</v>
      </c>
      <c r="K189" s="37" t="s">
        <v>77</v>
      </c>
      <c r="L189" s="37" t="s">
        <v>77</v>
      </c>
      <c r="M189" s="37" t="s">
        <v>77</v>
      </c>
      <c r="N189" s="37" t="s">
        <v>77</v>
      </c>
      <c r="O189" s="37" t="s">
        <v>77</v>
      </c>
      <c r="P189" s="37" t="s">
        <v>77</v>
      </c>
      <c r="Q189" s="37" t="s">
        <v>644</v>
      </c>
    </row>
    <row r="190" spans="1:17" ht="15">
      <c r="A190">
        <v>188</v>
      </c>
      <c r="B190" s="37" t="s">
        <v>614</v>
      </c>
      <c r="C190" s="37" t="s">
        <v>645</v>
      </c>
      <c r="D190" s="37" t="s">
        <v>646</v>
      </c>
      <c r="E190" s="37">
        <v>3</v>
      </c>
      <c r="F190" s="37" t="s">
        <v>77</v>
      </c>
      <c r="G190" s="37" t="s">
        <v>77</v>
      </c>
      <c r="H190" s="37" t="s">
        <v>77</v>
      </c>
      <c r="I190" s="37" t="s">
        <v>77</v>
      </c>
      <c r="J190" s="37" t="s">
        <v>77</v>
      </c>
      <c r="K190" s="37" t="s">
        <v>77</v>
      </c>
      <c r="L190" s="37" t="s">
        <v>77</v>
      </c>
      <c r="M190" s="37" t="s">
        <v>77</v>
      </c>
      <c r="N190" s="37" t="s">
        <v>77</v>
      </c>
      <c r="O190" s="37" t="s">
        <v>77</v>
      </c>
      <c r="P190" s="37" t="s">
        <v>77</v>
      </c>
      <c r="Q190" s="37" t="s">
        <v>647</v>
      </c>
    </row>
    <row r="191" spans="1:17" ht="15">
      <c r="A191">
        <v>189</v>
      </c>
      <c r="B191" s="37" t="s">
        <v>614</v>
      </c>
      <c r="C191" s="37" t="s">
        <v>648</v>
      </c>
      <c r="D191" s="37" t="s">
        <v>649</v>
      </c>
      <c r="E191" s="37">
        <v>3</v>
      </c>
      <c r="F191" s="37" t="s">
        <v>77</v>
      </c>
      <c r="G191" s="37" t="s">
        <v>77</v>
      </c>
      <c r="H191" s="37" t="s">
        <v>77</v>
      </c>
      <c r="I191" s="37" t="s">
        <v>77</v>
      </c>
      <c r="J191" s="37" t="s">
        <v>77</v>
      </c>
      <c r="K191" s="37" t="s">
        <v>77</v>
      </c>
      <c r="L191" s="37" t="s">
        <v>77</v>
      </c>
      <c r="M191" s="37" t="s">
        <v>77</v>
      </c>
      <c r="N191" s="37" t="s">
        <v>77</v>
      </c>
      <c r="O191" s="37" t="s">
        <v>77</v>
      </c>
      <c r="P191" s="37" t="s">
        <v>77</v>
      </c>
      <c r="Q191" s="37" t="s">
        <v>650</v>
      </c>
    </row>
    <row r="192" spans="1:17" ht="15">
      <c r="A192">
        <v>190</v>
      </c>
      <c r="B192" s="37" t="s">
        <v>614</v>
      </c>
      <c r="C192" s="37" t="s">
        <v>651</v>
      </c>
      <c r="D192" s="37" t="s">
        <v>652</v>
      </c>
      <c r="E192" s="37">
        <v>3</v>
      </c>
      <c r="F192" s="37" t="s">
        <v>77</v>
      </c>
      <c r="G192" s="37" t="s">
        <v>77</v>
      </c>
      <c r="H192" s="37" t="s">
        <v>77</v>
      </c>
      <c r="I192" s="37" t="s">
        <v>77</v>
      </c>
      <c r="J192" s="37" t="s">
        <v>77</v>
      </c>
      <c r="K192" s="37" t="s">
        <v>77</v>
      </c>
      <c r="L192" s="37" t="s">
        <v>77</v>
      </c>
      <c r="M192" s="37" t="s">
        <v>77</v>
      </c>
      <c r="N192" s="37" t="s">
        <v>77</v>
      </c>
      <c r="O192" s="37" t="s">
        <v>77</v>
      </c>
      <c r="P192" s="37" t="s">
        <v>77</v>
      </c>
      <c r="Q192" s="37" t="s">
        <v>653</v>
      </c>
    </row>
    <row r="193" spans="1:17" ht="15">
      <c r="A193">
        <v>191</v>
      </c>
      <c r="B193" s="37" t="s">
        <v>614</v>
      </c>
      <c r="C193" s="37" t="s">
        <v>654</v>
      </c>
      <c r="D193" s="37" t="s">
        <v>655</v>
      </c>
      <c r="E193" s="37">
        <v>3</v>
      </c>
      <c r="F193" s="37" t="s">
        <v>77</v>
      </c>
      <c r="G193" s="37" t="s">
        <v>77</v>
      </c>
      <c r="H193" s="37" t="s">
        <v>77</v>
      </c>
      <c r="I193" s="37" t="s">
        <v>77</v>
      </c>
      <c r="J193" s="37" t="s">
        <v>77</v>
      </c>
      <c r="K193" s="37" t="s">
        <v>77</v>
      </c>
      <c r="L193" s="37" t="s">
        <v>77</v>
      </c>
      <c r="M193" s="37" t="s">
        <v>77</v>
      </c>
      <c r="N193" s="37" t="s">
        <v>77</v>
      </c>
      <c r="O193" s="37" t="s">
        <v>77</v>
      </c>
      <c r="P193" s="37" t="s">
        <v>77</v>
      </c>
      <c r="Q193" s="37" t="s">
        <v>656</v>
      </c>
    </row>
    <row r="194" spans="1:17" ht="15">
      <c r="A194">
        <v>192</v>
      </c>
      <c r="B194" s="37" t="s">
        <v>614</v>
      </c>
      <c r="C194" s="37" t="s">
        <v>657</v>
      </c>
      <c r="D194" s="37" t="s">
        <v>658</v>
      </c>
      <c r="E194" s="37">
        <v>3</v>
      </c>
      <c r="F194" s="37" t="s">
        <v>77</v>
      </c>
      <c r="G194" s="37" t="s">
        <v>77</v>
      </c>
      <c r="H194" s="37" t="s">
        <v>77</v>
      </c>
      <c r="I194" s="37" t="s">
        <v>77</v>
      </c>
      <c r="J194" s="37" t="s">
        <v>77</v>
      </c>
      <c r="K194" s="37" t="s">
        <v>77</v>
      </c>
      <c r="L194" s="37" t="s">
        <v>77</v>
      </c>
      <c r="M194" s="37" t="s">
        <v>77</v>
      </c>
      <c r="N194" s="37" t="s">
        <v>77</v>
      </c>
      <c r="O194" s="37" t="s">
        <v>77</v>
      </c>
      <c r="P194" s="37" t="s">
        <v>77</v>
      </c>
      <c r="Q194" s="37" t="s">
        <v>659</v>
      </c>
    </row>
    <row r="195" spans="1:17" ht="15">
      <c r="A195">
        <v>193</v>
      </c>
      <c r="B195" s="37" t="s">
        <v>614</v>
      </c>
      <c r="C195" s="37" t="s">
        <v>660</v>
      </c>
      <c r="D195" s="37" t="s">
        <v>661</v>
      </c>
      <c r="E195" s="37">
        <v>3</v>
      </c>
      <c r="F195" s="37" t="s">
        <v>77</v>
      </c>
      <c r="G195" s="37" t="s">
        <v>77</v>
      </c>
      <c r="H195" s="37" t="s">
        <v>77</v>
      </c>
      <c r="I195" s="37" t="s">
        <v>77</v>
      </c>
      <c r="J195" s="37" t="s">
        <v>77</v>
      </c>
      <c r="K195" s="37" t="s">
        <v>77</v>
      </c>
      <c r="L195" s="37" t="s">
        <v>77</v>
      </c>
      <c r="M195" s="37" t="s">
        <v>77</v>
      </c>
      <c r="N195" s="37" t="s">
        <v>77</v>
      </c>
      <c r="O195" s="37" t="s">
        <v>77</v>
      </c>
      <c r="P195" s="37" t="s">
        <v>77</v>
      </c>
      <c r="Q195" s="37" t="s">
        <v>662</v>
      </c>
    </row>
    <row r="196" spans="1:17" ht="15">
      <c r="A196">
        <v>194</v>
      </c>
      <c r="B196" s="37" t="s">
        <v>614</v>
      </c>
      <c r="C196" s="37" t="s">
        <v>663</v>
      </c>
      <c r="D196" s="37" t="s">
        <v>664</v>
      </c>
      <c r="E196" s="37">
        <v>3</v>
      </c>
      <c r="F196" s="37" t="s">
        <v>77</v>
      </c>
      <c r="G196" s="37" t="s">
        <v>77</v>
      </c>
      <c r="H196" s="37" t="s">
        <v>77</v>
      </c>
      <c r="I196" s="37" t="s">
        <v>77</v>
      </c>
      <c r="J196" s="37" t="s">
        <v>77</v>
      </c>
      <c r="K196" s="37" t="s">
        <v>77</v>
      </c>
      <c r="L196" s="37" t="s">
        <v>77</v>
      </c>
      <c r="M196" s="37" t="s">
        <v>77</v>
      </c>
      <c r="N196" s="37" t="s">
        <v>77</v>
      </c>
      <c r="O196" s="37" t="s">
        <v>77</v>
      </c>
      <c r="P196" s="37" t="s">
        <v>77</v>
      </c>
      <c r="Q196" s="37" t="s">
        <v>665</v>
      </c>
    </row>
    <row r="197" spans="1:17" ht="15">
      <c r="A197">
        <v>195</v>
      </c>
      <c r="B197" s="37" t="s">
        <v>614</v>
      </c>
      <c r="C197" s="37" t="s">
        <v>666</v>
      </c>
      <c r="D197" s="37" t="s">
        <v>667</v>
      </c>
      <c r="E197" s="37">
        <v>3</v>
      </c>
      <c r="F197" s="37" t="s">
        <v>77</v>
      </c>
      <c r="G197" s="37" t="s">
        <v>77</v>
      </c>
      <c r="H197" s="37" t="s">
        <v>77</v>
      </c>
      <c r="I197" s="37" t="s">
        <v>77</v>
      </c>
      <c r="J197" s="37" t="s">
        <v>77</v>
      </c>
      <c r="K197" s="37" t="s">
        <v>77</v>
      </c>
      <c r="L197" s="37" t="s">
        <v>77</v>
      </c>
      <c r="M197" s="37" t="s">
        <v>77</v>
      </c>
      <c r="N197" s="37" t="s">
        <v>77</v>
      </c>
      <c r="O197" s="37" t="s">
        <v>77</v>
      </c>
      <c r="P197" s="37" t="s">
        <v>77</v>
      </c>
      <c r="Q197" s="37" t="s">
        <v>668</v>
      </c>
    </row>
    <row r="198" spans="1:17" ht="15">
      <c r="A198">
        <v>196</v>
      </c>
      <c r="B198" s="37" t="s">
        <v>614</v>
      </c>
      <c r="C198" s="37" t="s">
        <v>669</v>
      </c>
      <c r="D198" s="37" t="s">
        <v>670</v>
      </c>
      <c r="E198" s="37">
        <v>3</v>
      </c>
      <c r="F198" s="37" t="s">
        <v>77</v>
      </c>
      <c r="G198" s="37" t="s">
        <v>77</v>
      </c>
      <c r="H198" s="37" t="s">
        <v>77</v>
      </c>
      <c r="I198" s="37" t="s">
        <v>77</v>
      </c>
      <c r="J198" s="37" t="s">
        <v>77</v>
      </c>
      <c r="K198" s="37" t="s">
        <v>77</v>
      </c>
      <c r="L198" s="37" t="s">
        <v>77</v>
      </c>
      <c r="M198" s="37" t="s">
        <v>77</v>
      </c>
      <c r="N198" s="37" t="s">
        <v>77</v>
      </c>
      <c r="O198" s="37" t="s">
        <v>77</v>
      </c>
      <c r="P198" s="37" t="s">
        <v>77</v>
      </c>
      <c r="Q198" s="37" t="s">
        <v>671</v>
      </c>
    </row>
    <row r="199" spans="1:17" ht="15">
      <c r="A199">
        <v>197</v>
      </c>
      <c r="B199" s="37" t="s">
        <v>614</v>
      </c>
      <c r="C199" s="37" t="s">
        <v>672</v>
      </c>
      <c r="D199" s="37" t="s">
        <v>673</v>
      </c>
      <c r="E199" s="37">
        <v>3</v>
      </c>
      <c r="F199" s="37" t="s">
        <v>77</v>
      </c>
      <c r="G199" s="37" t="s">
        <v>77</v>
      </c>
      <c r="H199" s="37" t="s">
        <v>77</v>
      </c>
      <c r="I199" s="37" t="s">
        <v>77</v>
      </c>
      <c r="J199" s="37" t="s">
        <v>77</v>
      </c>
      <c r="K199" s="37" t="s">
        <v>77</v>
      </c>
      <c r="L199" s="37" t="s">
        <v>77</v>
      </c>
      <c r="M199" s="37" t="s">
        <v>77</v>
      </c>
      <c r="N199" s="37" t="s">
        <v>77</v>
      </c>
      <c r="O199" s="37" t="s">
        <v>77</v>
      </c>
      <c r="P199" s="37" t="s">
        <v>77</v>
      </c>
      <c r="Q199" s="37" t="s">
        <v>674</v>
      </c>
    </row>
    <row r="200" spans="1:17" ht="15">
      <c r="A200">
        <v>198</v>
      </c>
      <c r="B200" s="37" t="s">
        <v>614</v>
      </c>
      <c r="C200" s="37" t="s">
        <v>675</v>
      </c>
      <c r="D200" s="37" t="s">
        <v>676</v>
      </c>
      <c r="E200" s="37">
        <v>3</v>
      </c>
      <c r="F200" s="37" t="s">
        <v>77</v>
      </c>
      <c r="G200" s="37" t="s">
        <v>77</v>
      </c>
      <c r="H200" s="37" t="s">
        <v>77</v>
      </c>
      <c r="I200" s="37" t="s">
        <v>77</v>
      </c>
      <c r="J200" s="37" t="s">
        <v>77</v>
      </c>
      <c r="K200" s="37" t="s">
        <v>77</v>
      </c>
      <c r="L200" s="37" t="s">
        <v>77</v>
      </c>
      <c r="M200" s="37" t="s">
        <v>77</v>
      </c>
      <c r="N200" s="37" t="s">
        <v>77</v>
      </c>
      <c r="O200" s="37" t="s">
        <v>77</v>
      </c>
      <c r="P200" s="37" t="s">
        <v>77</v>
      </c>
      <c r="Q200" s="37" t="s">
        <v>677</v>
      </c>
    </row>
    <row r="201" spans="1:17" ht="15">
      <c r="A201">
        <v>199</v>
      </c>
      <c r="B201" s="37" t="s">
        <v>614</v>
      </c>
      <c r="C201" s="37" t="s">
        <v>678</v>
      </c>
      <c r="D201" s="37" t="s">
        <v>679</v>
      </c>
      <c r="E201" s="37">
        <v>3</v>
      </c>
      <c r="F201" s="37" t="s">
        <v>77</v>
      </c>
      <c r="G201" s="37" t="s">
        <v>77</v>
      </c>
      <c r="H201" s="37" t="s">
        <v>77</v>
      </c>
      <c r="I201" s="37" t="s">
        <v>77</v>
      </c>
      <c r="J201" s="37" t="s">
        <v>77</v>
      </c>
      <c r="K201" s="37" t="s">
        <v>77</v>
      </c>
      <c r="L201" s="37" t="s">
        <v>77</v>
      </c>
      <c r="M201" s="37" t="s">
        <v>77</v>
      </c>
      <c r="N201" s="37" t="s">
        <v>77</v>
      </c>
      <c r="O201" s="37" t="s">
        <v>77</v>
      </c>
      <c r="P201" s="37" t="s">
        <v>77</v>
      </c>
      <c r="Q201" s="37" t="s">
        <v>680</v>
      </c>
    </row>
    <row r="202" spans="1:17" ht="15">
      <c r="A202">
        <v>200</v>
      </c>
      <c r="B202" s="37" t="s">
        <v>614</v>
      </c>
      <c r="C202" s="37" t="s">
        <v>681</v>
      </c>
      <c r="D202" s="37" t="s">
        <v>682</v>
      </c>
      <c r="E202" s="37">
        <v>3</v>
      </c>
      <c r="F202" s="37" t="s">
        <v>77</v>
      </c>
      <c r="G202" s="37" t="s">
        <v>77</v>
      </c>
      <c r="H202" s="37" t="s">
        <v>77</v>
      </c>
      <c r="I202" s="37" t="s">
        <v>77</v>
      </c>
      <c r="J202" s="37" t="s">
        <v>77</v>
      </c>
      <c r="K202" s="37" t="s">
        <v>77</v>
      </c>
      <c r="L202" s="37" t="s">
        <v>77</v>
      </c>
      <c r="M202" s="37" t="s">
        <v>77</v>
      </c>
      <c r="N202" s="37" t="s">
        <v>77</v>
      </c>
      <c r="O202" s="37" t="s">
        <v>77</v>
      </c>
      <c r="P202" s="37" t="s">
        <v>77</v>
      </c>
      <c r="Q202" s="37" t="s">
        <v>683</v>
      </c>
    </row>
    <row r="203" spans="1:17" ht="15">
      <c r="A203">
        <v>201</v>
      </c>
      <c r="B203" s="37" t="s">
        <v>614</v>
      </c>
      <c r="C203" s="37" t="s">
        <v>684</v>
      </c>
      <c r="D203" s="37" t="s">
        <v>685</v>
      </c>
      <c r="E203" s="37">
        <v>3</v>
      </c>
      <c r="F203" s="37" t="s">
        <v>77</v>
      </c>
      <c r="G203" s="37" t="s">
        <v>77</v>
      </c>
      <c r="H203" s="37" t="s">
        <v>77</v>
      </c>
      <c r="I203" s="37" t="s">
        <v>77</v>
      </c>
      <c r="J203" s="37" t="s">
        <v>77</v>
      </c>
      <c r="K203" s="37" t="s">
        <v>77</v>
      </c>
      <c r="L203" s="37" t="s">
        <v>77</v>
      </c>
      <c r="M203" s="37" t="s">
        <v>77</v>
      </c>
      <c r="N203" s="37" t="s">
        <v>77</v>
      </c>
      <c r="O203" s="37" t="s">
        <v>77</v>
      </c>
      <c r="P203" s="37" t="s">
        <v>77</v>
      </c>
      <c r="Q203" s="37" t="s">
        <v>686</v>
      </c>
    </row>
    <row r="204" spans="1:17" ht="15">
      <c r="A204">
        <v>202</v>
      </c>
      <c r="B204" s="37" t="s">
        <v>614</v>
      </c>
      <c r="C204" s="37" t="s">
        <v>687</v>
      </c>
      <c r="D204" s="37" t="s">
        <v>688</v>
      </c>
      <c r="E204" s="37">
        <v>3</v>
      </c>
      <c r="F204" s="37" t="s">
        <v>77</v>
      </c>
      <c r="G204" s="37" t="s">
        <v>77</v>
      </c>
      <c r="H204" s="37" t="s">
        <v>77</v>
      </c>
      <c r="I204" s="37" t="s">
        <v>77</v>
      </c>
      <c r="J204" s="37" t="s">
        <v>77</v>
      </c>
      <c r="K204" s="37" t="s">
        <v>77</v>
      </c>
      <c r="L204" s="37" t="s">
        <v>77</v>
      </c>
      <c r="M204" s="37" t="s">
        <v>77</v>
      </c>
      <c r="N204" s="37" t="s">
        <v>77</v>
      </c>
      <c r="O204" s="37" t="s">
        <v>77</v>
      </c>
      <c r="P204" s="37" t="s">
        <v>77</v>
      </c>
      <c r="Q204" s="37" t="s">
        <v>689</v>
      </c>
    </row>
    <row r="205" spans="1:17" ht="15">
      <c r="A205">
        <v>203</v>
      </c>
      <c r="B205" s="37" t="s">
        <v>614</v>
      </c>
      <c r="C205" s="37" t="s">
        <v>690</v>
      </c>
      <c r="D205" s="37" t="s">
        <v>691</v>
      </c>
      <c r="E205" s="37">
        <v>3</v>
      </c>
      <c r="F205" s="37" t="s">
        <v>77</v>
      </c>
      <c r="G205" s="37" t="s">
        <v>77</v>
      </c>
      <c r="H205" s="37" t="s">
        <v>77</v>
      </c>
      <c r="I205" s="37" t="s">
        <v>77</v>
      </c>
      <c r="J205" s="37" t="s">
        <v>77</v>
      </c>
      <c r="K205" s="37" t="s">
        <v>77</v>
      </c>
      <c r="L205" s="37" t="s">
        <v>77</v>
      </c>
      <c r="M205" s="37" t="s">
        <v>77</v>
      </c>
      <c r="N205" s="37" t="s">
        <v>77</v>
      </c>
      <c r="O205" s="37" t="s">
        <v>77</v>
      </c>
      <c r="P205" s="37" t="s">
        <v>77</v>
      </c>
      <c r="Q205" s="37" t="s">
        <v>692</v>
      </c>
    </row>
    <row r="206" spans="1:17" ht="15">
      <c r="A206">
        <v>204</v>
      </c>
      <c r="B206" s="37" t="s">
        <v>614</v>
      </c>
      <c r="C206" s="37" t="s">
        <v>693</v>
      </c>
      <c r="D206" s="37" t="s">
        <v>694</v>
      </c>
      <c r="E206" s="37">
        <v>3</v>
      </c>
      <c r="F206" s="37" t="s">
        <v>77</v>
      </c>
      <c r="G206" s="37" t="s">
        <v>77</v>
      </c>
      <c r="H206" s="37" t="s">
        <v>77</v>
      </c>
      <c r="I206" s="37" t="s">
        <v>77</v>
      </c>
      <c r="J206" s="37" t="s">
        <v>77</v>
      </c>
      <c r="K206" s="37" t="s">
        <v>77</v>
      </c>
      <c r="L206" s="37" t="s">
        <v>77</v>
      </c>
      <c r="M206" s="37" t="s">
        <v>77</v>
      </c>
      <c r="N206" s="37" t="s">
        <v>77</v>
      </c>
      <c r="O206" s="37" t="s">
        <v>77</v>
      </c>
      <c r="P206" s="37" t="s">
        <v>77</v>
      </c>
      <c r="Q206" s="37" t="s">
        <v>695</v>
      </c>
    </row>
    <row r="207" spans="1:17" ht="15">
      <c r="A207">
        <v>205</v>
      </c>
      <c r="B207" s="37" t="s">
        <v>614</v>
      </c>
      <c r="C207" s="37" t="s">
        <v>696</v>
      </c>
      <c r="D207" s="37" t="s">
        <v>697</v>
      </c>
      <c r="E207" s="37">
        <v>3</v>
      </c>
      <c r="F207" s="37" t="s">
        <v>77</v>
      </c>
      <c r="G207" s="37" t="s">
        <v>77</v>
      </c>
      <c r="H207" s="37" t="s">
        <v>77</v>
      </c>
      <c r="I207" s="37" t="s">
        <v>77</v>
      </c>
      <c r="J207" s="37" t="s">
        <v>77</v>
      </c>
      <c r="K207" s="37" t="s">
        <v>77</v>
      </c>
      <c r="L207" s="37" t="s">
        <v>78</v>
      </c>
      <c r="M207" s="37" t="s">
        <v>77</v>
      </c>
      <c r="N207" s="37" t="s">
        <v>77</v>
      </c>
      <c r="O207" s="37" t="s">
        <v>82</v>
      </c>
      <c r="P207" s="37" t="s">
        <v>77</v>
      </c>
      <c r="Q207" s="37" t="s">
        <v>698</v>
      </c>
    </row>
    <row r="208" spans="1:17" ht="15">
      <c r="A208">
        <v>206</v>
      </c>
      <c r="B208" s="37" t="s">
        <v>614</v>
      </c>
      <c r="C208" s="37" t="s">
        <v>699</v>
      </c>
      <c r="D208" s="37" t="s">
        <v>700</v>
      </c>
      <c r="E208" s="37">
        <v>3</v>
      </c>
      <c r="F208" s="37" t="s">
        <v>77</v>
      </c>
      <c r="G208" s="37" t="s">
        <v>77</v>
      </c>
      <c r="H208" s="37" t="s">
        <v>77</v>
      </c>
      <c r="I208" s="37" t="s">
        <v>77</v>
      </c>
      <c r="J208" s="37" t="s">
        <v>77</v>
      </c>
      <c r="K208" s="37" t="s">
        <v>77</v>
      </c>
      <c r="L208" s="37" t="s">
        <v>77</v>
      </c>
      <c r="M208" s="37" t="s">
        <v>77</v>
      </c>
      <c r="N208" s="37" t="s">
        <v>77</v>
      </c>
      <c r="O208" s="37" t="s">
        <v>77</v>
      </c>
      <c r="P208" s="37" t="s">
        <v>77</v>
      </c>
      <c r="Q208" s="37" t="s">
        <v>701</v>
      </c>
    </row>
    <row r="209" spans="1:17" ht="15">
      <c r="A209">
        <v>207</v>
      </c>
      <c r="B209" s="37" t="s">
        <v>614</v>
      </c>
      <c r="C209" s="37" t="s">
        <v>702</v>
      </c>
      <c r="D209" s="37" t="s">
        <v>703</v>
      </c>
      <c r="E209" s="37">
        <v>3</v>
      </c>
      <c r="F209" s="37" t="s">
        <v>77</v>
      </c>
      <c r="G209" s="37" t="s">
        <v>77</v>
      </c>
      <c r="H209" s="37" t="s">
        <v>77</v>
      </c>
      <c r="I209" s="37" t="s">
        <v>77</v>
      </c>
      <c r="J209" s="37" t="s">
        <v>77</v>
      </c>
      <c r="K209" s="37" t="s">
        <v>77</v>
      </c>
      <c r="L209" s="37" t="s">
        <v>77</v>
      </c>
      <c r="M209" s="37" t="s">
        <v>77</v>
      </c>
      <c r="N209" s="37" t="s">
        <v>77</v>
      </c>
      <c r="O209" s="37" t="s">
        <v>77</v>
      </c>
      <c r="P209" s="37" t="s">
        <v>77</v>
      </c>
      <c r="Q209" s="37" t="s">
        <v>704</v>
      </c>
    </row>
    <row r="210" spans="1:17" ht="15">
      <c r="A210">
        <v>208</v>
      </c>
      <c r="B210" s="37" t="s">
        <v>614</v>
      </c>
      <c r="C210" s="37" t="s">
        <v>705</v>
      </c>
      <c r="D210" s="37" t="s">
        <v>706</v>
      </c>
      <c r="E210" s="37">
        <v>3</v>
      </c>
      <c r="F210" s="37" t="s">
        <v>77</v>
      </c>
      <c r="G210" s="37" t="s">
        <v>77</v>
      </c>
      <c r="H210" s="37" t="s">
        <v>77</v>
      </c>
      <c r="I210" s="37" t="s">
        <v>77</v>
      </c>
      <c r="J210" s="37" t="s">
        <v>77</v>
      </c>
      <c r="K210" s="37" t="s">
        <v>77</v>
      </c>
      <c r="L210" s="37" t="s">
        <v>77</v>
      </c>
      <c r="M210" s="37" t="s">
        <v>77</v>
      </c>
      <c r="N210" s="37" t="s">
        <v>77</v>
      </c>
      <c r="O210" s="37" t="s">
        <v>77</v>
      </c>
      <c r="P210" s="37" t="s">
        <v>77</v>
      </c>
      <c r="Q210" s="37" t="s">
        <v>707</v>
      </c>
    </row>
    <row r="211" spans="1:17" ht="15">
      <c r="A211">
        <v>209</v>
      </c>
      <c r="B211" s="37" t="s">
        <v>614</v>
      </c>
      <c r="C211" s="37" t="s">
        <v>708</v>
      </c>
      <c r="D211" s="37" t="s">
        <v>709</v>
      </c>
      <c r="E211" s="37">
        <v>3</v>
      </c>
      <c r="F211" s="37" t="s">
        <v>77</v>
      </c>
      <c r="G211" s="37" t="s">
        <v>77</v>
      </c>
      <c r="H211" s="37" t="s">
        <v>77</v>
      </c>
      <c r="I211" s="37" t="s">
        <v>77</v>
      </c>
      <c r="J211" s="37" t="s">
        <v>77</v>
      </c>
      <c r="K211" s="37" t="s">
        <v>77</v>
      </c>
      <c r="L211" s="37" t="s">
        <v>77</v>
      </c>
      <c r="M211" s="37" t="s">
        <v>77</v>
      </c>
      <c r="N211" s="37" t="s">
        <v>77</v>
      </c>
      <c r="O211" s="37" t="s">
        <v>77</v>
      </c>
      <c r="P211" s="37" t="s">
        <v>77</v>
      </c>
      <c r="Q211" s="37" t="s">
        <v>710</v>
      </c>
    </row>
    <row r="212" spans="1:17" ht="15">
      <c r="A212">
        <v>210</v>
      </c>
      <c r="B212" s="37" t="s">
        <v>614</v>
      </c>
      <c r="C212" s="37" t="s">
        <v>711</v>
      </c>
      <c r="D212" s="37" t="s">
        <v>712</v>
      </c>
      <c r="E212" s="37">
        <v>3</v>
      </c>
      <c r="F212" s="37" t="s">
        <v>77</v>
      </c>
      <c r="G212" s="37" t="s">
        <v>77</v>
      </c>
      <c r="H212" s="37" t="s">
        <v>77</v>
      </c>
      <c r="I212" s="37" t="s">
        <v>77</v>
      </c>
      <c r="J212" s="37" t="s">
        <v>77</v>
      </c>
      <c r="K212" s="37" t="s">
        <v>77</v>
      </c>
      <c r="L212" s="37" t="s">
        <v>77</v>
      </c>
      <c r="M212" s="37" t="s">
        <v>77</v>
      </c>
      <c r="N212" s="37" t="s">
        <v>77</v>
      </c>
      <c r="O212" s="37" t="s">
        <v>77</v>
      </c>
      <c r="P212" s="37" t="s">
        <v>77</v>
      </c>
      <c r="Q212" s="37" t="s">
        <v>713</v>
      </c>
    </row>
    <row r="213" spans="1:17" ht="15">
      <c r="A213">
        <v>211</v>
      </c>
      <c r="B213" s="37" t="s">
        <v>614</v>
      </c>
      <c r="C213" s="37" t="s">
        <v>714</v>
      </c>
      <c r="D213" s="37" t="s">
        <v>715</v>
      </c>
      <c r="E213" s="37">
        <v>3</v>
      </c>
      <c r="F213" s="37" t="s">
        <v>77</v>
      </c>
      <c r="G213" s="37" t="s">
        <v>77</v>
      </c>
      <c r="H213" s="37" t="s">
        <v>77</v>
      </c>
      <c r="I213" s="37" t="s">
        <v>77</v>
      </c>
      <c r="J213" s="37" t="s">
        <v>77</v>
      </c>
      <c r="K213" s="37" t="s">
        <v>77</v>
      </c>
      <c r="L213" s="37" t="s">
        <v>77</v>
      </c>
      <c r="M213" s="37" t="s">
        <v>77</v>
      </c>
      <c r="N213" s="37" t="s">
        <v>77</v>
      </c>
      <c r="O213" s="37" t="s">
        <v>78</v>
      </c>
      <c r="P213" s="37" t="s">
        <v>77</v>
      </c>
      <c r="Q213" s="37" t="s">
        <v>716</v>
      </c>
    </row>
    <row r="214" spans="1:17" ht="15">
      <c r="A214">
        <v>212</v>
      </c>
      <c r="B214" s="37" t="s">
        <v>614</v>
      </c>
      <c r="C214" s="37" t="s">
        <v>717</v>
      </c>
      <c r="D214" s="37" t="s">
        <v>718</v>
      </c>
      <c r="E214" s="37">
        <v>3</v>
      </c>
      <c r="F214" s="37" t="s">
        <v>77</v>
      </c>
      <c r="G214" s="37" t="s">
        <v>77</v>
      </c>
      <c r="H214" s="37" t="s">
        <v>77</v>
      </c>
      <c r="I214" s="37" t="s">
        <v>77</v>
      </c>
      <c r="J214" s="37" t="s">
        <v>77</v>
      </c>
      <c r="K214" s="37" t="s">
        <v>77</v>
      </c>
      <c r="L214" s="37" t="s">
        <v>77</v>
      </c>
      <c r="M214" s="37" t="s">
        <v>77</v>
      </c>
      <c r="N214" s="37" t="s">
        <v>77</v>
      </c>
      <c r="O214" s="37" t="s">
        <v>77</v>
      </c>
      <c r="P214" s="37" t="s">
        <v>77</v>
      </c>
      <c r="Q214" s="37" t="s">
        <v>719</v>
      </c>
    </row>
    <row r="215" spans="1:17" ht="15">
      <c r="A215">
        <v>213</v>
      </c>
      <c r="B215" s="37" t="s">
        <v>614</v>
      </c>
      <c r="C215" s="37" t="s">
        <v>720</v>
      </c>
      <c r="D215" s="37" t="s">
        <v>721</v>
      </c>
      <c r="E215" s="37">
        <v>3</v>
      </c>
      <c r="F215" s="37" t="s">
        <v>77</v>
      </c>
      <c r="G215" s="37" t="s">
        <v>77</v>
      </c>
      <c r="H215" s="37" t="s">
        <v>77</v>
      </c>
      <c r="I215" s="37" t="s">
        <v>77</v>
      </c>
      <c r="J215" s="37" t="s">
        <v>77</v>
      </c>
      <c r="K215" s="37" t="s">
        <v>77</v>
      </c>
      <c r="L215" s="37" t="s">
        <v>77</v>
      </c>
      <c r="M215" s="37" t="s">
        <v>77</v>
      </c>
      <c r="N215" s="37" t="s">
        <v>77</v>
      </c>
      <c r="O215" s="37" t="s">
        <v>77</v>
      </c>
      <c r="P215" s="37" t="s">
        <v>77</v>
      </c>
      <c r="Q215" s="37" t="s">
        <v>722</v>
      </c>
    </row>
    <row r="216" spans="1:17" ht="15">
      <c r="A216">
        <v>214</v>
      </c>
      <c r="B216" s="37" t="s">
        <v>614</v>
      </c>
      <c r="C216" s="37" t="s">
        <v>723</v>
      </c>
      <c r="D216" s="37" t="s">
        <v>724</v>
      </c>
      <c r="E216" s="37">
        <v>3</v>
      </c>
      <c r="F216" s="37" t="s">
        <v>77</v>
      </c>
      <c r="G216" s="37" t="s">
        <v>77</v>
      </c>
      <c r="H216" s="37" t="s">
        <v>77</v>
      </c>
      <c r="I216" s="37" t="s">
        <v>77</v>
      </c>
      <c r="J216" s="37" t="s">
        <v>77</v>
      </c>
      <c r="K216" s="37" t="s">
        <v>77</v>
      </c>
      <c r="L216" s="37" t="s">
        <v>77</v>
      </c>
      <c r="M216" s="37" t="s">
        <v>77</v>
      </c>
      <c r="N216" s="37" t="s">
        <v>77</v>
      </c>
      <c r="O216" s="37" t="s">
        <v>77</v>
      </c>
      <c r="P216" s="37" t="s">
        <v>77</v>
      </c>
      <c r="Q216" s="37" t="s">
        <v>725</v>
      </c>
    </row>
    <row r="217" spans="1:17" ht="15">
      <c r="A217">
        <v>215</v>
      </c>
      <c r="B217" s="37" t="s">
        <v>614</v>
      </c>
      <c r="C217" s="37" t="s">
        <v>726</v>
      </c>
      <c r="D217" s="37" t="s">
        <v>727</v>
      </c>
      <c r="E217" s="37">
        <v>3</v>
      </c>
      <c r="F217" s="37" t="s">
        <v>77</v>
      </c>
      <c r="G217" s="37" t="s">
        <v>77</v>
      </c>
      <c r="H217" s="37" t="s">
        <v>77</v>
      </c>
      <c r="I217" s="37" t="s">
        <v>77</v>
      </c>
      <c r="J217" s="37" t="s">
        <v>77</v>
      </c>
      <c r="K217" s="37" t="s">
        <v>77</v>
      </c>
      <c r="L217" s="37" t="s">
        <v>77</v>
      </c>
      <c r="M217" s="37" t="s">
        <v>77</v>
      </c>
      <c r="N217" s="37" t="s">
        <v>77</v>
      </c>
      <c r="O217" s="37" t="s">
        <v>77</v>
      </c>
      <c r="P217" s="37" t="s">
        <v>77</v>
      </c>
      <c r="Q217" s="37" t="s">
        <v>728</v>
      </c>
    </row>
    <row r="218" spans="1:17" ht="15">
      <c r="A218">
        <v>216</v>
      </c>
      <c r="B218" s="37" t="s">
        <v>614</v>
      </c>
      <c r="C218" s="37" t="s">
        <v>729</v>
      </c>
      <c r="D218" s="37" t="s">
        <v>730</v>
      </c>
      <c r="E218" s="37">
        <v>3</v>
      </c>
      <c r="F218" s="37" t="s">
        <v>77</v>
      </c>
      <c r="G218" s="37" t="s">
        <v>77</v>
      </c>
      <c r="H218" s="37" t="s">
        <v>77</v>
      </c>
      <c r="I218" s="37" t="s">
        <v>77</v>
      </c>
      <c r="J218" s="37" t="s">
        <v>77</v>
      </c>
      <c r="K218" s="37" t="s">
        <v>77</v>
      </c>
      <c r="L218" s="37" t="s">
        <v>77</v>
      </c>
      <c r="M218" s="37" t="s">
        <v>77</v>
      </c>
      <c r="N218" s="37" t="s">
        <v>77</v>
      </c>
      <c r="O218" s="37" t="s">
        <v>77</v>
      </c>
      <c r="P218" s="37" t="s">
        <v>77</v>
      </c>
      <c r="Q218" s="37" t="s">
        <v>731</v>
      </c>
    </row>
    <row r="219" spans="1:17" ht="15">
      <c r="A219">
        <v>217</v>
      </c>
      <c r="B219" s="37" t="s">
        <v>614</v>
      </c>
      <c r="C219" s="37" t="s">
        <v>732</v>
      </c>
      <c r="D219" s="37" t="s">
        <v>733</v>
      </c>
      <c r="E219" s="37">
        <v>3</v>
      </c>
      <c r="F219" s="37" t="s">
        <v>77</v>
      </c>
      <c r="G219" s="37" t="s">
        <v>77</v>
      </c>
      <c r="H219" s="37" t="s">
        <v>77</v>
      </c>
      <c r="I219" s="37" t="s">
        <v>77</v>
      </c>
      <c r="J219" s="37" t="s">
        <v>77</v>
      </c>
      <c r="K219" s="37" t="s">
        <v>77</v>
      </c>
      <c r="L219" s="37" t="s">
        <v>77</v>
      </c>
      <c r="M219" s="37" t="s">
        <v>77</v>
      </c>
      <c r="N219" s="37" t="s">
        <v>77</v>
      </c>
      <c r="O219" s="37" t="s">
        <v>77</v>
      </c>
      <c r="P219" s="37" t="s">
        <v>77</v>
      </c>
      <c r="Q219" s="37" t="s">
        <v>734</v>
      </c>
    </row>
    <row r="220" spans="1:17" ht="15">
      <c r="A220">
        <v>218</v>
      </c>
      <c r="B220" s="37" t="s">
        <v>614</v>
      </c>
      <c r="C220" s="37" t="s">
        <v>735</v>
      </c>
      <c r="D220" s="37" t="s">
        <v>736</v>
      </c>
      <c r="E220" s="37">
        <v>3</v>
      </c>
      <c r="F220" s="37" t="s">
        <v>77</v>
      </c>
      <c r="G220" s="37" t="s">
        <v>77</v>
      </c>
      <c r="H220" s="37" t="s">
        <v>77</v>
      </c>
      <c r="I220" s="37" t="s">
        <v>77</v>
      </c>
      <c r="J220" s="37" t="s">
        <v>77</v>
      </c>
      <c r="K220" s="37" t="s">
        <v>77</v>
      </c>
      <c r="L220" s="37" t="s">
        <v>77</v>
      </c>
      <c r="M220" s="37" t="s">
        <v>77</v>
      </c>
      <c r="N220" s="37" t="s">
        <v>77</v>
      </c>
      <c r="O220" s="37" t="s">
        <v>77</v>
      </c>
      <c r="P220" s="37" t="s">
        <v>77</v>
      </c>
      <c r="Q220" s="37" t="s">
        <v>737</v>
      </c>
    </row>
    <row r="221" spans="1:17" ht="15">
      <c r="A221">
        <v>219</v>
      </c>
      <c r="B221" s="37" t="s">
        <v>738</v>
      </c>
      <c r="C221" s="37" t="s">
        <v>739</v>
      </c>
      <c r="D221" s="37" t="s">
        <v>740</v>
      </c>
      <c r="E221" s="37">
        <v>3</v>
      </c>
      <c r="F221" s="37" t="s">
        <v>77</v>
      </c>
      <c r="G221" s="37" t="s">
        <v>77</v>
      </c>
      <c r="H221" s="37" t="s">
        <v>77</v>
      </c>
      <c r="I221" s="37" t="s">
        <v>77</v>
      </c>
      <c r="J221" s="37" t="s">
        <v>77</v>
      </c>
      <c r="K221" s="37" t="s">
        <v>77</v>
      </c>
      <c r="L221" s="37" t="s">
        <v>77</v>
      </c>
      <c r="M221" s="37" t="s">
        <v>77</v>
      </c>
      <c r="N221" s="37" t="s">
        <v>77</v>
      </c>
      <c r="O221" s="37" t="s">
        <v>77</v>
      </c>
      <c r="P221" s="37" t="s">
        <v>77</v>
      </c>
      <c r="Q221" s="37" t="s">
        <v>741</v>
      </c>
    </row>
    <row r="222" spans="1:17" ht="15">
      <c r="A222">
        <v>220</v>
      </c>
      <c r="B222" s="37" t="s">
        <v>738</v>
      </c>
      <c r="C222" s="37" t="s">
        <v>742</v>
      </c>
      <c r="D222" s="37" t="s">
        <v>743</v>
      </c>
      <c r="E222" s="37">
        <v>3</v>
      </c>
      <c r="F222" s="37" t="s">
        <v>77</v>
      </c>
      <c r="G222" s="37" t="s">
        <v>77</v>
      </c>
      <c r="H222" s="37" t="s">
        <v>77</v>
      </c>
      <c r="I222" s="37" t="s">
        <v>77</v>
      </c>
      <c r="J222" s="37" t="s">
        <v>77</v>
      </c>
      <c r="K222" s="37" t="s">
        <v>77</v>
      </c>
      <c r="L222" s="37" t="s">
        <v>77</v>
      </c>
      <c r="M222" s="37" t="s">
        <v>77</v>
      </c>
      <c r="N222" s="37" t="s">
        <v>77</v>
      </c>
      <c r="O222" s="37" t="s">
        <v>77</v>
      </c>
      <c r="P222" s="37" t="s">
        <v>77</v>
      </c>
      <c r="Q222" s="37" t="s">
        <v>744</v>
      </c>
    </row>
    <row r="223" spans="1:17" ht="15">
      <c r="A223">
        <v>221</v>
      </c>
      <c r="B223" s="37" t="s">
        <v>738</v>
      </c>
      <c r="C223" s="37" t="s">
        <v>745</v>
      </c>
      <c r="D223" s="37" t="s">
        <v>746</v>
      </c>
      <c r="E223" s="37">
        <v>3</v>
      </c>
      <c r="F223" s="37" t="s">
        <v>77</v>
      </c>
      <c r="G223" s="37" t="s">
        <v>77</v>
      </c>
      <c r="H223" s="37" t="s">
        <v>77</v>
      </c>
      <c r="I223" s="37" t="s">
        <v>77</v>
      </c>
      <c r="J223" s="37" t="s">
        <v>77</v>
      </c>
      <c r="K223" s="37" t="s">
        <v>77</v>
      </c>
      <c r="L223" s="37" t="s">
        <v>77</v>
      </c>
      <c r="M223" s="37" t="s">
        <v>77</v>
      </c>
      <c r="N223" s="37" t="s">
        <v>77</v>
      </c>
      <c r="O223" s="37" t="s">
        <v>77</v>
      </c>
      <c r="P223" s="37" t="s">
        <v>77</v>
      </c>
      <c r="Q223" s="37" t="s">
        <v>747</v>
      </c>
    </row>
    <row r="224" spans="1:17" ht="15">
      <c r="A224">
        <v>222</v>
      </c>
      <c r="B224" s="37" t="s">
        <v>738</v>
      </c>
      <c r="C224" s="37" t="s">
        <v>748</v>
      </c>
      <c r="D224" s="37" t="s">
        <v>749</v>
      </c>
      <c r="E224" s="37">
        <v>3</v>
      </c>
      <c r="F224" s="37" t="s">
        <v>77</v>
      </c>
      <c r="G224" s="37" t="s">
        <v>77</v>
      </c>
      <c r="H224" s="37" t="s">
        <v>77</v>
      </c>
      <c r="I224" s="37" t="s">
        <v>77</v>
      </c>
      <c r="J224" s="37" t="s">
        <v>77</v>
      </c>
      <c r="K224" s="37" t="s">
        <v>77</v>
      </c>
      <c r="L224" s="37" t="s">
        <v>77</v>
      </c>
      <c r="M224" s="37" t="s">
        <v>77</v>
      </c>
      <c r="N224" s="37" t="s">
        <v>77</v>
      </c>
      <c r="O224" s="37" t="s">
        <v>77</v>
      </c>
      <c r="P224" s="37" t="s">
        <v>77</v>
      </c>
      <c r="Q224" s="37" t="s">
        <v>750</v>
      </c>
    </row>
    <row r="225" spans="1:17" ht="15">
      <c r="A225">
        <v>223</v>
      </c>
      <c r="B225" s="37" t="s">
        <v>738</v>
      </c>
      <c r="C225" s="37" t="s">
        <v>751</v>
      </c>
      <c r="D225" s="37" t="s">
        <v>752</v>
      </c>
      <c r="E225" s="37">
        <v>3</v>
      </c>
      <c r="F225" s="37" t="s">
        <v>77</v>
      </c>
      <c r="G225" s="37" t="s">
        <v>77</v>
      </c>
      <c r="H225" s="37" t="s">
        <v>77</v>
      </c>
      <c r="I225" s="37" t="s">
        <v>77</v>
      </c>
      <c r="J225" s="37" t="s">
        <v>77</v>
      </c>
      <c r="K225" s="37" t="s">
        <v>77</v>
      </c>
      <c r="L225" s="37" t="s">
        <v>77</v>
      </c>
      <c r="M225" s="37" t="s">
        <v>77</v>
      </c>
      <c r="N225" s="37" t="s">
        <v>77</v>
      </c>
      <c r="O225" s="37" t="s">
        <v>77</v>
      </c>
      <c r="P225" s="37" t="s">
        <v>77</v>
      </c>
      <c r="Q225" s="37" t="s">
        <v>753</v>
      </c>
    </row>
    <row r="226" spans="1:17" ht="15">
      <c r="A226">
        <v>224</v>
      </c>
      <c r="B226" s="37" t="s">
        <v>738</v>
      </c>
      <c r="C226" s="37" t="s">
        <v>754</v>
      </c>
      <c r="D226" s="37" t="s">
        <v>755</v>
      </c>
      <c r="E226" s="37">
        <v>3</v>
      </c>
      <c r="F226" s="37" t="s">
        <v>77</v>
      </c>
      <c r="G226" s="37" t="s">
        <v>77</v>
      </c>
      <c r="H226" s="37" t="s">
        <v>77</v>
      </c>
      <c r="I226" s="37" t="s">
        <v>77</v>
      </c>
      <c r="J226" s="37" t="s">
        <v>77</v>
      </c>
      <c r="K226" s="37" t="s">
        <v>77</v>
      </c>
      <c r="L226" s="37" t="s">
        <v>77</v>
      </c>
      <c r="M226" s="37" t="s">
        <v>77</v>
      </c>
      <c r="N226" s="37" t="s">
        <v>77</v>
      </c>
      <c r="O226" s="37" t="s">
        <v>77</v>
      </c>
      <c r="P226" s="37" t="s">
        <v>77</v>
      </c>
      <c r="Q226" s="37" t="s">
        <v>756</v>
      </c>
    </row>
    <row r="227" spans="1:17" ht="15">
      <c r="A227">
        <v>225</v>
      </c>
      <c r="B227" s="37" t="s">
        <v>738</v>
      </c>
      <c r="C227" s="37" t="s">
        <v>757</v>
      </c>
      <c r="D227" s="37" t="s">
        <v>758</v>
      </c>
      <c r="E227" s="37">
        <v>3</v>
      </c>
      <c r="F227" s="37" t="s">
        <v>77</v>
      </c>
      <c r="G227" s="37" t="s">
        <v>77</v>
      </c>
      <c r="H227" s="37" t="s">
        <v>77</v>
      </c>
      <c r="I227" s="37" t="s">
        <v>77</v>
      </c>
      <c r="J227" s="37" t="s">
        <v>77</v>
      </c>
      <c r="K227" s="37" t="s">
        <v>77</v>
      </c>
      <c r="L227" s="37" t="s">
        <v>77</v>
      </c>
      <c r="M227" s="37" t="s">
        <v>77</v>
      </c>
      <c r="N227" s="37" t="s">
        <v>77</v>
      </c>
      <c r="O227" s="37" t="s">
        <v>77</v>
      </c>
      <c r="P227" s="37" t="s">
        <v>77</v>
      </c>
      <c r="Q227" s="37" t="s">
        <v>759</v>
      </c>
    </row>
    <row r="228" spans="1:17" ht="15">
      <c r="A228">
        <v>226</v>
      </c>
      <c r="B228" s="37" t="s">
        <v>738</v>
      </c>
      <c r="C228" s="37" t="s">
        <v>760</v>
      </c>
      <c r="D228" s="37" t="s">
        <v>761</v>
      </c>
      <c r="E228" s="37">
        <v>3</v>
      </c>
      <c r="F228" s="37" t="s">
        <v>77</v>
      </c>
      <c r="G228" s="37" t="s">
        <v>77</v>
      </c>
      <c r="H228" s="37" t="s">
        <v>77</v>
      </c>
      <c r="I228" s="37" t="s">
        <v>77</v>
      </c>
      <c r="J228" s="37" t="s">
        <v>77</v>
      </c>
      <c r="K228" s="37" t="s">
        <v>77</v>
      </c>
      <c r="L228" s="37" t="s">
        <v>77</v>
      </c>
      <c r="M228" s="37" t="s">
        <v>77</v>
      </c>
      <c r="N228" s="37" t="s">
        <v>77</v>
      </c>
      <c r="O228" s="37" t="s">
        <v>77</v>
      </c>
      <c r="P228" s="37" t="s">
        <v>77</v>
      </c>
      <c r="Q228" s="37" t="s">
        <v>762</v>
      </c>
    </row>
    <row r="229" spans="1:17" ht="15">
      <c r="A229">
        <v>227</v>
      </c>
      <c r="B229" s="37" t="s">
        <v>738</v>
      </c>
      <c r="C229" s="37" t="s">
        <v>763</v>
      </c>
      <c r="D229" s="37" t="s">
        <v>764</v>
      </c>
      <c r="E229" s="37">
        <v>3</v>
      </c>
      <c r="F229" s="37" t="s">
        <v>77</v>
      </c>
      <c r="G229" s="37" t="s">
        <v>77</v>
      </c>
      <c r="H229" s="37" t="s">
        <v>77</v>
      </c>
      <c r="I229" s="37" t="s">
        <v>77</v>
      </c>
      <c r="J229" s="37" t="s">
        <v>77</v>
      </c>
      <c r="K229" s="37" t="s">
        <v>77</v>
      </c>
      <c r="L229" s="37" t="s">
        <v>77</v>
      </c>
      <c r="M229" s="37" t="s">
        <v>77</v>
      </c>
      <c r="N229" s="37" t="s">
        <v>77</v>
      </c>
      <c r="O229" s="37" t="s">
        <v>77</v>
      </c>
      <c r="P229" s="37" t="s">
        <v>77</v>
      </c>
      <c r="Q229" s="37" t="s">
        <v>765</v>
      </c>
    </row>
    <row r="230" spans="1:17" ht="15">
      <c r="A230">
        <v>228</v>
      </c>
      <c r="B230" s="37" t="s">
        <v>738</v>
      </c>
      <c r="C230" s="37" t="s">
        <v>766</v>
      </c>
      <c r="D230" s="37" t="s">
        <v>767</v>
      </c>
      <c r="E230" s="37">
        <v>3</v>
      </c>
      <c r="F230" s="37" t="s">
        <v>77</v>
      </c>
      <c r="G230" s="37" t="s">
        <v>77</v>
      </c>
      <c r="H230" s="37" t="s">
        <v>77</v>
      </c>
      <c r="I230" s="37" t="s">
        <v>77</v>
      </c>
      <c r="J230" s="37" t="s">
        <v>77</v>
      </c>
      <c r="K230" s="37" t="s">
        <v>77</v>
      </c>
      <c r="L230" s="37" t="s">
        <v>77</v>
      </c>
      <c r="M230" s="37" t="s">
        <v>77</v>
      </c>
      <c r="N230" s="37" t="s">
        <v>77</v>
      </c>
      <c r="O230" s="37" t="s">
        <v>77</v>
      </c>
      <c r="P230" s="37" t="s">
        <v>77</v>
      </c>
      <c r="Q230" s="37" t="s">
        <v>768</v>
      </c>
    </row>
    <row r="231" spans="1:17" ht="15">
      <c r="A231">
        <v>229</v>
      </c>
      <c r="B231" s="37" t="s">
        <v>738</v>
      </c>
      <c r="C231" s="37" t="s">
        <v>769</v>
      </c>
      <c r="D231" s="37" t="s">
        <v>770</v>
      </c>
      <c r="E231" s="37">
        <v>3</v>
      </c>
      <c r="F231" s="37" t="s">
        <v>77</v>
      </c>
      <c r="G231" s="37" t="s">
        <v>77</v>
      </c>
      <c r="H231" s="37" t="s">
        <v>77</v>
      </c>
      <c r="I231" s="37" t="s">
        <v>77</v>
      </c>
      <c r="J231" s="37" t="s">
        <v>77</v>
      </c>
      <c r="K231" s="37" t="s">
        <v>77</v>
      </c>
      <c r="L231" s="37" t="s">
        <v>77</v>
      </c>
      <c r="M231" s="37" t="s">
        <v>77</v>
      </c>
      <c r="N231" s="37" t="s">
        <v>77</v>
      </c>
      <c r="O231" s="37" t="s">
        <v>77</v>
      </c>
      <c r="P231" s="37" t="s">
        <v>77</v>
      </c>
      <c r="Q231" s="37" t="s">
        <v>771</v>
      </c>
    </row>
    <row r="232" spans="1:17" ht="15">
      <c r="A232">
        <v>230</v>
      </c>
      <c r="B232" s="37" t="s">
        <v>738</v>
      </c>
      <c r="C232" s="37" t="s">
        <v>772</v>
      </c>
      <c r="D232" s="37" t="s">
        <v>773</v>
      </c>
      <c r="E232" s="37">
        <v>3</v>
      </c>
      <c r="F232" s="37" t="s">
        <v>77</v>
      </c>
      <c r="G232" s="37" t="s">
        <v>77</v>
      </c>
      <c r="H232" s="37" t="s">
        <v>77</v>
      </c>
      <c r="I232" s="37" t="s">
        <v>77</v>
      </c>
      <c r="J232" s="37" t="s">
        <v>77</v>
      </c>
      <c r="K232" s="37" t="s">
        <v>77</v>
      </c>
      <c r="L232" s="37" t="s">
        <v>77</v>
      </c>
      <c r="M232" s="37" t="s">
        <v>77</v>
      </c>
      <c r="N232" s="37" t="s">
        <v>77</v>
      </c>
      <c r="O232" s="37" t="s">
        <v>77</v>
      </c>
      <c r="P232" s="37" t="s">
        <v>77</v>
      </c>
      <c r="Q232" s="37" t="s">
        <v>774</v>
      </c>
    </row>
    <row r="233" spans="1:17" ht="15">
      <c r="A233">
        <v>231</v>
      </c>
      <c r="B233" s="37" t="s">
        <v>738</v>
      </c>
      <c r="C233" s="37" t="s">
        <v>775</v>
      </c>
      <c r="D233" s="37" t="s">
        <v>776</v>
      </c>
      <c r="E233" s="37">
        <v>3</v>
      </c>
      <c r="F233" s="37" t="s">
        <v>77</v>
      </c>
      <c r="G233" s="37" t="s">
        <v>77</v>
      </c>
      <c r="H233" s="37" t="s">
        <v>77</v>
      </c>
      <c r="I233" s="37" t="s">
        <v>77</v>
      </c>
      <c r="J233" s="37" t="s">
        <v>77</v>
      </c>
      <c r="K233" s="37" t="s">
        <v>77</v>
      </c>
      <c r="L233" s="37" t="s">
        <v>77</v>
      </c>
      <c r="M233" s="37" t="s">
        <v>77</v>
      </c>
      <c r="N233" s="37" t="s">
        <v>77</v>
      </c>
      <c r="O233" s="37" t="s">
        <v>77</v>
      </c>
      <c r="P233" s="37" t="s">
        <v>77</v>
      </c>
      <c r="Q233" s="37" t="s">
        <v>777</v>
      </c>
    </row>
    <row r="234" spans="1:17" ht="15">
      <c r="A234">
        <v>232</v>
      </c>
      <c r="B234" s="37" t="s">
        <v>738</v>
      </c>
      <c r="C234" s="37" t="s">
        <v>778</v>
      </c>
      <c r="D234" s="37" t="s">
        <v>779</v>
      </c>
      <c r="E234" s="37">
        <v>3</v>
      </c>
      <c r="F234" s="37" t="s">
        <v>77</v>
      </c>
      <c r="G234" s="37" t="s">
        <v>77</v>
      </c>
      <c r="H234" s="37" t="s">
        <v>77</v>
      </c>
      <c r="I234" s="37" t="s">
        <v>77</v>
      </c>
      <c r="J234" s="37" t="s">
        <v>77</v>
      </c>
      <c r="K234" s="37" t="s">
        <v>77</v>
      </c>
      <c r="L234" s="37" t="s">
        <v>77</v>
      </c>
      <c r="M234" s="37" t="s">
        <v>77</v>
      </c>
      <c r="N234" s="37" t="s">
        <v>77</v>
      </c>
      <c r="O234" s="37" t="s">
        <v>77</v>
      </c>
      <c r="P234" s="37" t="s">
        <v>77</v>
      </c>
      <c r="Q234" s="37" t="s">
        <v>780</v>
      </c>
    </row>
    <row r="235" spans="1:17" ht="15">
      <c r="A235">
        <v>233</v>
      </c>
      <c r="B235" s="37" t="s">
        <v>738</v>
      </c>
      <c r="C235" s="37" t="s">
        <v>781</v>
      </c>
      <c r="D235" s="37" t="s">
        <v>782</v>
      </c>
      <c r="E235" s="37">
        <v>3</v>
      </c>
      <c r="F235" s="37" t="s">
        <v>77</v>
      </c>
      <c r="G235" s="37" t="s">
        <v>77</v>
      </c>
      <c r="H235" s="37" t="s">
        <v>77</v>
      </c>
      <c r="I235" s="37" t="s">
        <v>77</v>
      </c>
      <c r="J235" s="37" t="s">
        <v>77</v>
      </c>
      <c r="K235" s="37" t="s">
        <v>77</v>
      </c>
      <c r="L235" s="37" t="s">
        <v>77</v>
      </c>
      <c r="M235" s="37" t="s">
        <v>77</v>
      </c>
      <c r="N235" s="37" t="s">
        <v>77</v>
      </c>
      <c r="O235" s="37" t="s">
        <v>77</v>
      </c>
      <c r="P235" s="37" t="s">
        <v>77</v>
      </c>
      <c r="Q235" s="37" t="s">
        <v>783</v>
      </c>
    </row>
    <row r="236" spans="1:17" ht="15">
      <c r="A236">
        <v>234</v>
      </c>
      <c r="B236" s="37" t="s">
        <v>738</v>
      </c>
      <c r="C236" s="37" t="s">
        <v>784</v>
      </c>
      <c r="D236" s="37" t="s">
        <v>785</v>
      </c>
      <c r="E236" s="37">
        <v>3</v>
      </c>
      <c r="F236" s="37" t="s">
        <v>77</v>
      </c>
      <c r="G236" s="37" t="s">
        <v>77</v>
      </c>
      <c r="H236" s="37" t="s">
        <v>77</v>
      </c>
      <c r="I236" s="37" t="s">
        <v>77</v>
      </c>
      <c r="J236" s="37" t="s">
        <v>77</v>
      </c>
      <c r="K236" s="37" t="s">
        <v>77</v>
      </c>
      <c r="L236" s="37" t="s">
        <v>77</v>
      </c>
      <c r="M236" s="37" t="s">
        <v>77</v>
      </c>
      <c r="N236" s="37" t="s">
        <v>77</v>
      </c>
      <c r="O236" s="37" t="s">
        <v>77</v>
      </c>
      <c r="P236" s="37" t="s">
        <v>77</v>
      </c>
      <c r="Q236" s="37" t="s">
        <v>786</v>
      </c>
    </row>
    <row r="237" spans="1:17" ht="15">
      <c r="A237">
        <v>235</v>
      </c>
      <c r="B237" s="37" t="s">
        <v>738</v>
      </c>
      <c r="C237" s="37" t="s">
        <v>787</v>
      </c>
      <c r="D237" s="37" t="s">
        <v>788</v>
      </c>
      <c r="E237" s="37">
        <v>3</v>
      </c>
      <c r="F237" s="37" t="s">
        <v>77</v>
      </c>
      <c r="G237" s="37" t="s">
        <v>77</v>
      </c>
      <c r="H237" s="37" t="s">
        <v>77</v>
      </c>
      <c r="I237" s="37" t="s">
        <v>77</v>
      </c>
      <c r="J237" s="37" t="s">
        <v>77</v>
      </c>
      <c r="K237" s="37" t="s">
        <v>77</v>
      </c>
      <c r="L237" s="37" t="s">
        <v>77</v>
      </c>
      <c r="M237" s="37" t="s">
        <v>77</v>
      </c>
      <c r="N237" s="37" t="s">
        <v>77</v>
      </c>
      <c r="O237" s="37" t="s">
        <v>77</v>
      </c>
      <c r="P237" s="37" t="s">
        <v>77</v>
      </c>
      <c r="Q237" s="37" t="s">
        <v>789</v>
      </c>
    </row>
    <row r="238" spans="1:17" ht="15">
      <c r="A238">
        <v>236</v>
      </c>
      <c r="B238" s="37" t="s">
        <v>738</v>
      </c>
      <c r="C238" s="37" t="s">
        <v>790</v>
      </c>
      <c r="D238" s="37" t="s">
        <v>791</v>
      </c>
      <c r="E238" s="37">
        <v>3</v>
      </c>
      <c r="F238" s="37" t="s">
        <v>77</v>
      </c>
      <c r="G238" s="37" t="s">
        <v>77</v>
      </c>
      <c r="H238" s="37" t="s">
        <v>77</v>
      </c>
      <c r="I238" s="37" t="s">
        <v>77</v>
      </c>
      <c r="J238" s="37" t="s">
        <v>77</v>
      </c>
      <c r="K238" s="37" t="s">
        <v>77</v>
      </c>
      <c r="L238" s="37" t="s">
        <v>77</v>
      </c>
      <c r="M238" s="37" t="s">
        <v>77</v>
      </c>
      <c r="N238" s="37" t="s">
        <v>77</v>
      </c>
      <c r="O238" s="37" t="s">
        <v>77</v>
      </c>
      <c r="P238" s="37" t="s">
        <v>77</v>
      </c>
      <c r="Q238" s="37" t="s">
        <v>792</v>
      </c>
    </row>
    <row r="239" spans="1:17" ht="15">
      <c r="A239">
        <v>237</v>
      </c>
      <c r="B239" s="37" t="s">
        <v>738</v>
      </c>
      <c r="C239" s="37" t="s">
        <v>793</v>
      </c>
      <c r="D239" s="37" t="s">
        <v>794</v>
      </c>
      <c r="E239" s="37">
        <v>3</v>
      </c>
      <c r="F239" s="37" t="s">
        <v>77</v>
      </c>
      <c r="G239" s="37" t="s">
        <v>77</v>
      </c>
      <c r="H239" s="37" t="s">
        <v>77</v>
      </c>
      <c r="I239" s="37" t="s">
        <v>77</v>
      </c>
      <c r="J239" s="37" t="s">
        <v>77</v>
      </c>
      <c r="K239" s="37" t="s">
        <v>77</v>
      </c>
      <c r="L239" s="37" t="s">
        <v>77</v>
      </c>
      <c r="M239" s="37" t="s">
        <v>77</v>
      </c>
      <c r="N239" s="37" t="s">
        <v>77</v>
      </c>
      <c r="O239" s="37" t="s">
        <v>77</v>
      </c>
      <c r="P239" s="37" t="s">
        <v>77</v>
      </c>
      <c r="Q239" s="37" t="s">
        <v>795</v>
      </c>
    </row>
    <row r="240" spans="1:17" ht="15">
      <c r="A240">
        <v>238</v>
      </c>
      <c r="B240" s="37" t="s">
        <v>738</v>
      </c>
      <c r="C240" s="37" t="s">
        <v>796</v>
      </c>
      <c r="D240" s="37" t="s">
        <v>797</v>
      </c>
      <c r="E240" s="37">
        <v>3</v>
      </c>
      <c r="F240" s="37" t="s">
        <v>77</v>
      </c>
      <c r="G240" s="37" t="s">
        <v>77</v>
      </c>
      <c r="H240" s="37" t="s">
        <v>77</v>
      </c>
      <c r="I240" s="37" t="s">
        <v>77</v>
      </c>
      <c r="J240" s="37" t="s">
        <v>77</v>
      </c>
      <c r="K240" s="37" t="s">
        <v>77</v>
      </c>
      <c r="L240" s="37" t="s">
        <v>77</v>
      </c>
      <c r="M240" s="37" t="s">
        <v>77</v>
      </c>
      <c r="N240" s="37" t="s">
        <v>77</v>
      </c>
      <c r="O240" s="37" t="s">
        <v>77</v>
      </c>
      <c r="P240" s="37" t="s">
        <v>77</v>
      </c>
      <c r="Q240" s="37" t="s">
        <v>798</v>
      </c>
    </row>
    <row r="241" spans="1:17" ht="15">
      <c r="A241">
        <v>239</v>
      </c>
      <c r="B241" s="37" t="s">
        <v>738</v>
      </c>
      <c r="C241" s="37" t="s">
        <v>799</v>
      </c>
      <c r="D241" s="37" t="s">
        <v>800</v>
      </c>
      <c r="E241" s="37">
        <v>3</v>
      </c>
      <c r="F241" s="37" t="s">
        <v>77</v>
      </c>
      <c r="G241" s="37" t="s">
        <v>77</v>
      </c>
      <c r="H241" s="37" t="s">
        <v>77</v>
      </c>
      <c r="I241" s="37" t="s">
        <v>77</v>
      </c>
      <c r="J241" s="37" t="s">
        <v>77</v>
      </c>
      <c r="K241" s="37" t="s">
        <v>77</v>
      </c>
      <c r="L241" s="37" t="s">
        <v>77</v>
      </c>
      <c r="M241" s="37" t="s">
        <v>77</v>
      </c>
      <c r="N241" s="37" t="s">
        <v>77</v>
      </c>
      <c r="O241" s="37" t="s">
        <v>77</v>
      </c>
      <c r="P241" s="37" t="s">
        <v>77</v>
      </c>
      <c r="Q241" s="37" t="s">
        <v>801</v>
      </c>
    </row>
    <row r="242" spans="1:17" ht="15">
      <c r="A242">
        <v>240</v>
      </c>
      <c r="B242" s="37" t="s">
        <v>738</v>
      </c>
      <c r="C242" s="37" t="s">
        <v>802</v>
      </c>
      <c r="D242" s="37" t="s">
        <v>803</v>
      </c>
      <c r="E242" s="37">
        <v>3</v>
      </c>
      <c r="F242" s="37" t="s">
        <v>77</v>
      </c>
      <c r="G242" s="37" t="s">
        <v>77</v>
      </c>
      <c r="H242" s="37" t="s">
        <v>77</v>
      </c>
      <c r="I242" s="37" t="s">
        <v>77</v>
      </c>
      <c r="J242" s="37" t="s">
        <v>77</v>
      </c>
      <c r="K242" s="37" t="s">
        <v>77</v>
      </c>
      <c r="L242" s="37" t="s">
        <v>77</v>
      </c>
      <c r="M242" s="37" t="s">
        <v>77</v>
      </c>
      <c r="N242" s="37" t="s">
        <v>77</v>
      </c>
      <c r="O242" s="37" t="s">
        <v>77</v>
      </c>
      <c r="P242" s="37" t="s">
        <v>77</v>
      </c>
      <c r="Q242" s="37" t="s">
        <v>804</v>
      </c>
    </row>
    <row r="243" spans="1:17" ht="15">
      <c r="A243">
        <v>241</v>
      </c>
      <c r="B243" s="37" t="s">
        <v>738</v>
      </c>
      <c r="C243" s="37" t="s">
        <v>805</v>
      </c>
      <c r="D243" s="37" t="s">
        <v>806</v>
      </c>
      <c r="E243" s="37">
        <v>3</v>
      </c>
      <c r="F243" s="37" t="s">
        <v>77</v>
      </c>
      <c r="G243" s="37" t="s">
        <v>77</v>
      </c>
      <c r="H243" s="37" t="s">
        <v>77</v>
      </c>
      <c r="I243" s="37" t="s">
        <v>77</v>
      </c>
      <c r="J243" s="37" t="s">
        <v>77</v>
      </c>
      <c r="K243" s="37" t="s">
        <v>77</v>
      </c>
      <c r="L243" s="37" t="s">
        <v>77</v>
      </c>
      <c r="M243" s="37" t="s">
        <v>77</v>
      </c>
      <c r="N243" s="37" t="s">
        <v>77</v>
      </c>
      <c r="O243" s="37" t="s">
        <v>77</v>
      </c>
      <c r="P243" s="37" t="s">
        <v>77</v>
      </c>
      <c r="Q243" s="37" t="s">
        <v>807</v>
      </c>
    </row>
    <row r="244" spans="1:17" ht="15">
      <c r="A244">
        <v>242</v>
      </c>
      <c r="B244" s="37" t="s">
        <v>738</v>
      </c>
      <c r="C244" s="37" t="s">
        <v>808</v>
      </c>
      <c r="D244" s="37" t="s">
        <v>809</v>
      </c>
      <c r="E244" s="37">
        <v>3</v>
      </c>
      <c r="F244" s="37" t="s">
        <v>77</v>
      </c>
      <c r="G244" s="37" t="s">
        <v>77</v>
      </c>
      <c r="H244" s="37" t="s">
        <v>77</v>
      </c>
      <c r="I244" s="37" t="s">
        <v>77</v>
      </c>
      <c r="J244" s="37" t="s">
        <v>77</v>
      </c>
      <c r="K244" s="37" t="s">
        <v>77</v>
      </c>
      <c r="L244" s="37" t="s">
        <v>77</v>
      </c>
      <c r="M244" s="37" t="s">
        <v>77</v>
      </c>
      <c r="N244" s="37" t="s">
        <v>77</v>
      </c>
      <c r="O244" s="37" t="s">
        <v>77</v>
      </c>
      <c r="P244" s="37" t="s">
        <v>77</v>
      </c>
      <c r="Q244" s="37" t="s">
        <v>810</v>
      </c>
    </row>
    <row r="245" spans="1:17" ht="15">
      <c r="A245">
        <v>243</v>
      </c>
      <c r="B245" s="37" t="s">
        <v>738</v>
      </c>
      <c r="C245" s="37" t="s">
        <v>811</v>
      </c>
      <c r="D245" s="37" t="s">
        <v>812</v>
      </c>
      <c r="E245" s="37">
        <v>3</v>
      </c>
      <c r="F245" s="37" t="s">
        <v>77</v>
      </c>
      <c r="G245" s="37" t="s">
        <v>77</v>
      </c>
      <c r="H245" s="37" t="s">
        <v>77</v>
      </c>
      <c r="I245" s="37" t="s">
        <v>77</v>
      </c>
      <c r="J245" s="37" t="s">
        <v>77</v>
      </c>
      <c r="K245" s="37" t="s">
        <v>77</v>
      </c>
      <c r="L245" s="37" t="s">
        <v>77</v>
      </c>
      <c r="M245" s="37" t="s">
        <v>77</v>
      </c>
      <c r="N245" s="37" t="s">
        <v>77</v>
      </c>
      <c r="O245" s="37" t="s">
        <v>77</v>
      </c>
      <c r="P245" s="37" t="s">
        <v>77</v>
      </c>
      <c r="Q245" s="37" t="s">
        <v>813</v>
      </c>
    </row>
    <row r="246" spans="1:17" ht="15">
      <c r="A246">
        <v>244</v>
      </c>
      <c r="B246" s="37" t="s">
        <v>738</v>
      </c>
      <c r="C246" s="37" t="s">
        <v>814</v>
      </c>
      <c r="D246" s="37" t="s">
        <v>815</v>
      </c>
      <c r="E246" s="37">
        <v>3</v>
      </c>
      <c r="F246" s="37" t="s">
        <v>77</v>
      </c>
      <c r="G246" s="37" t="s">
        <v>77</v>
      </c>
      <c r="H246" s="37" t="s">
        <v>77</v>
      </c>
      <c r="I246" s="37" t="s">
        <v>77</v>
      </c>
      <c r="J246" s="37" t="s">
        <v>77</v>
      </c>
      <c r="K246" s="37" t="s">
        <v>77</v>
      </c>
      <c r="L246" s="37" t="s">
        <v>77</v>
      </c>
      <c r="M246" s="37" t="s">
        <v>77</v>
      </c>
      <c r="N246" s="37" t="s">
        <v>77</v>
      </c>
      <c r="O246" s="37" t="s">
        <v>77</v>
      </c>
      <c r="P246" s="37" t="s">
        <v>77</v>
      </c>
      <c r="Q246" s="37" t="s">
        <v>816</v>
      </c>
    </row>
    <row r="247" spans="1:17" ht="15">
      <c r="A247">
        <v>245</v>
      </c>
      <c r="B247" s="37" t="s">
        <v>738</v>
      </c>
      <c r="C247" s="37" t="s">
        <v>817</v>
      </c>
      <c r="D247" s="37" t="s">
        <v>818</v>
      </c>
      <c r="E247" s="37">
        <v>3</v>
      </c>
      <c r="F247" s="37" t="s">
        <v>77</v>
      </c>
      <c r="G247" s="37" t="s">
        <v>77</v>
      </c>
      <c r="H247" s="37" t="s">
        <v>77</v>
      </c>
      <c r="I247" s="37" t="s">
        <v>77</v>
      </c>
      <c r="J247" s="37" t="s">
        <v>77</v>
      </c>
      <c r="K247" s="37" t="s">
        <v>77</v>
      </c>
      <c r="L247" s="37" t="s">
        <v>77</v>
      </c>
      <c r="M247" s="37" t="s">
        <v>77</v>
      </c>
      <c r="N247" s="37" t="s">
        <v>77</v>
      </c>
      <c r="O247" s="37" t="s">
        <v>77</v>
      </c>
      <c r="P247" s="37" t="s">
        <v>77</v>
      </c>
      <c r="Q247" s="37" t="s">
        <v>819</v>
      </c>
    </row>
    <row r="248" spans="1:17" ht="15">
      <c r="A248">
        <v>246</v>
      </c>
      <c r="B248" s="37" t="s">
        <v>738</v>
      </c>
      <c r="C248" s="37" t="s">
        <v>820</v>
      </c>
      <c r="D248" s="37" t="s">
        <v>821</v>
      </c>
      <c r="E248" s="37">
        <v>3</v>
      </c>
      <c r="F248" s="37" t="s">
        <v>77</v>
      </c>
      <c r="G248" s="37" t="s">
        <v>77</v>
      </c>
      <c r="H248" s="37" t="s">
        <v>77</v>
      </c>
      <c r="I248" s="37" t="s">
        <v>77</v>
      </c>
      <c r="J248" s="37" t="s">
        <v>77</v>
      </c>
      <c r="K248" s="37" t="s">
        <v>77</v>
      </c>
      <c r="L248" s="37" t="s">
        <v>77</v>
      </c>
      <c r="M248" s="37" t="s">
        <v>77</v>
      </c>
      <c r="N248" s="37" t="s">
        <v>77</v>
      </c>
      <c r="O248" s="37" t="s">
        <v>77</v>
      </c>
      <c r="P248" s="37" t="s">
        <v>77</v>
      </c>
      <c r="Q248" s="37" t="s">
        <v>822</v>
      </c>
    </row>
    <row r="249" spans="1:17" ht="15">
      <c r="A249">
        <v>247</v>
      </c>
      <c r="B249" s="37" t="s">
        <v>738</v>
      </c>
      <c r="C249" s="37" t="s">
        <v>823</v>
      </c>
      <c r="D249" s="37" t="s">
        <v>824</v>
      </c>
      <c r="E249" s="37">
        <v>3</v>
      </c>
      <c r="F249" s="37" t="s">
        <v>77</v>
      </c>
      <c r="G249" s="37" t="s">
        <v>77</v>
      </c>
      <c r="H249" s="37" t="s">
        <v>77</v>
      </c>
      <c r="I249" s="37" t="s">
        <v>77</v>
      </c>
      <c r="J249" s="37" t="s">
        <v>77</v>
      </c>
      <c r="K249" s="37" t="s">
        <v>77</v>
      </c>
      <c r="L249" s="37" t="s">
        <v>77</v>
      </c>
      <c r="M249" s="37" t="s">
        <v>77</v>
      </c>
      <c r="N249" s="37" t="s">
        <v>77</v>
      </c>
      <c r="O249" s="37" t="s">
        <v>77</v>
      </c>
      <c r="P249" s="37" t="s">
        <v>77</v>
      </c>
      <c r="Q249" s="37" t="s">
        <v>825</v>
      </c>
    </row>
    <row r="250" spans="1:17" ht="15">
      <c r="A250">
        <v>248</v>
      </c>
      <c r="B250" s="37" t="s">
        <v>826</v>
      </c>
      <c r="C250" s="37" t="s">
        <v>827</v>
      </c>
      <c r="D250" s="37" t="s">
        <v>828</v>
      </c>
      <c r="E250" s="37">
        <v>3</v>
      </c>
      <c r="F250" s="37" t="s">
        <v>77</v>
      </c>
      <c r="G250" s="37" t="s">
        <v>77</v>
      </c>
      <c r="H250" s="37" t="s">
        <v>77</v>
      </c>
      <c r="I250" s="37" t="s">
        <v>77</v>
      </c>
      <c r="J250" s="37" t="s">
        <v>77</v>
      </c>
      <c r="K250" s="37" t="s">
        <v>77</v>
      </c>
      <c r="L250" s="37" t="s">
        <v>77</v>
      </c>
      <c r="M250" s="37" t="s">
        <v>77</v>
      </c>
      <c r="N250" s="37" t="s">
        <v>77</v>
      </c>
      <c r="O250" s="37" t="s">
        <v>77</v>
      </c>
      <c r="P250" s="37" t="s">
        <v>77</v>
      </c>
      <c r="Q250" s="37" t="s">
        <v>829</v>
      </c>
    </row>
    <row r="251" spans="1:17" ht="15">
      <c r="A251">
        <v>249</v>
      </c>
      <c r="B251" s="37" t="s">
        <v>826</v>
      </c>
      <c r="C251" s="37" t="s">
        <v>830</v>
      </c>
      <c r="D251" s="37" t="s">
        <v>831</v>
      </c>
      <c r="E251" s="37">
        <v>3</v>
      </c>
      <c r="F251" s="37" t="s">
        <v>77</v>
      </c>
      <c r="G251" s="37" t="s">
        <v>77</v>
      </c>
      <c r="H251" s="37" t="s">
        <v>77</v>
      </c>
      <c r="I251" s="37" t="s">
        <v>77</v>
      </c>
      <c r="J251" s="37" t="s">
        <v>77</v>
      </c>
      <c r="K251" s="37" t="s">
        <v>77</v>
      </c>
      <c r="L251" s="37" t="s">
        <v>77</v>
      </c>
      <c r="M251" s="37" t="s">
        <v>77</v>
      </c>
      <c r="N251" s="37" t="s">
        <v>77</v>
      </c>
      <c r="O251" s="37" t="s">
        <v>77</v>
      </c>
      <c r="P251" s="37" t="s">
        <v>77</v>
      </c>
      <c r="Q251" s="37" t="s">
        <v>832</v>
      </c>
    </row>
    <row r="252" spans="1:17" ht="15">
      <c r="A252">
        <v>250</v>
      </c>
      <c r="B252" s="37" t="s">
        <v>826</v>
      </c>
      <c r="C252" s="37" t="s">
        <v>833</v>
      </c>
      <c r="D252" s="37" t="s">
        <v>834</v>
      </c>
      <c r="E252" s="37">
        <v>3</v>
      </c>
      <c r="F252" s="37" t="s">
        <v>77</v>
      </c>
      <c r="G252" s="37" t="s">
        <v>77</v>
      </c>
      <c r="H252" s="37" t="s">
        <v>77</v>
      </c>
      <c r="I252" s="37" t="s">
        <v>77</v>
      </c>
      <c r="J252" s="37" t="s">
        <v>77</v>
      </c>
      <c r="K252" s="37" t="s">
        <v>77</v>
      </c>
      <c r="L252" s="37" t="s">
        <v>77</v>
      </c>
      <c r="M252" s="37" t="s">
        <v>77</v>
      </c>
      <c r="N252" s="37" t="s">
        <v>77</v>
      </c>
      <c r="O252" s="37" t="s">
        <v>77</v>
      </c>
      <c r="P252" s="37" t="s">
        <v>77</v>
      </c>
      <c r="Q252" s="37" t="s">
        <v>835</v>
      </c>
    </row>
    <row r="253" spans="1:17" ht="15">
      <c r="A253">
        <v>251</v>
      </c>
      <c r="B253" s="37" t="s">
        <v>826</v>
      </c>
      <c r="C253" s="37" t="s">
        <v>836</v>
      </c>
      <c r="D253" s="37" t="s">
        <v>837</v>
      </c>
      <c r="E253" s="37">
        <v>3</v>
      </c>
      <c r="F253" s="37" t="s">
        <v>77</v>
      </c>
      <c r="G253" s="37" t="s">
        <v>77</v>
      </c>
      <c r="H253" s="37" t="s">
        <v>77</v>
      </c>
      <c r="I253" s="37" t="s">
        <v>77</v>
      </c>
      <c r="J253" s="37" t="s">
        <v>77</v>
      </c>
      <c r="K253" s="37" t="s">
        <v>77</v>
      </c>
      <c r="L253" s="37" t="s">
        <v>77</v>
      </c>
      <c r="M253" s="37" t="s">
        <v>77</v>
      </c>
      <c r="N253" s="37" t="s">
        <v>77</v>
      </c>
      <c r="O253" s="37" t="s">
        <v>77</v>
      </c>
      <c r="P253" s="37" t="s">
        <v>77</v>
      </c>
      <c r="Q253" s="37" t="s">
        <v>838</v>
      </c>
    </row>
    <row r="254" spans="1:17" ht="15">
      <c r="A254">
        <v>252</v>
      </c>
      <c r="B254" s="37" t="s">
        <v>826</v>
      </c>
      <c r="C254" s="37" t="s">
        <v>839</v>
      </c>
      <c r="D254" s="37" t="s">
        <v>840</v>
      </c>
      <c r="E254" s="37">
        <v>3</v>
      </c>
      <c r="F254" s="37" t="s">
        <v>77</v>
      </c>
      <c r="G254" s="37" t="s">
        <v>77</v>
      </c>
      <c r="H254" s="37" t="s">
        <v>77</v>
      </c>
      <c r="I254" s="37" t="s">
        <v>77</v>
      </c>
      <c r="J254" s="37" t="s">
        <v>77</v>
      </c>
      <c r="K254" s="37" t="s">
        <v>77</v>
      </c>
      <c r="L254" s="37" t="s">
        <v>77</v>
      </c>
      <c r="M254" s="37" t="s">
        <v>77</v>
      </c>
      <c r="N254" s="37" t="s">
        <v>77</v>
      </c>
      <c r="O254" s="37" t="s">
        <v>77</v>
      </c>
      <c r="P254" s="37" t="s">
        <v>77</v>
      </c>
      <c r="Q254" s="37" t="s">
        <v>680</v>
      </c>
    </row>
    <row r="255" spans="1:17" ht="15">
      <c r="A255">
        <v>253</v>
      </c>
      <c r="B255" s="37" t="s">
        <v>826</v>
      </c>
      <c r="C255" s="37" t="s">
        <v>841</v>
      </c>
      <c r="D255" s="37" t="s">
        <v>842</v>
      </c>
      <c r="E255" s="37">
        <v>3</v>
      </c>
      <c r="F255" s="37" t="s">
        <v>77</v>
      </c>
      <c r="G255" s="37" t="s">
        <v>77</v>
      </c>
      <c r="H255" s="37" t="s">
        <v>77</v>
      </c>
      <c r="I255" s="37" t="s">
        <v>77</v>
      </c>
      <c r="J255" s="37" t="s">
        <v>77</v>
      </c>
      <c r="K255" s="37" t="s">
        <v>77</v>
      </c>
      <c r="L255" s="37" t="s">
        <v>77</v>
      </c>
      <c r="M255" s="37" t="s">
        <v>77</v>
      </c>
      <c r="N255" s="37" t="s">
        <v>77</v>
      </c>
      <c r="O255" s="37" t="s">
        <v>77</v>
      </c>
      <c r="P255" s="37" t="s">
        <v>77</v>
      </c>
      <c r="Q255" s="37" t="s">
        <v>843</v>
      </c>
    </row>
    <row r="256" spans="1:17" ht="15">
      <c r="A256">
        <v>254</v>
      </c>
      <c r="B256" s="37" t="s">
        <v>826</v>
      </c>
      <c r="C256" s="37" t="s">
        <v>844</v>
      </c>
      <c r="D256" s="37" t="s">
        <v>845</v>
      </c>
      <c r="E256" s="37">
        <v>3</v>
      </c>
      <c r="F256" s="37" t="s">
        <v>77</v>
      </c>
      <c r="G256" s="37" t="s">
        <v>77</v>
      </c>
      <c r="H256" s="37" t="s">
        <v>77</v>
      </c>
      <c r="I256" s="37" t="s">
        <v>77</v>
      </c>
      <c r="J256" s="37" t="s">
        <v>77</v>
      </c>
      <c r="K256" s="37" t="s">
        <v>77</v>
      </c>
      <c r="L256" s="37" t="s">
        <v>77</v>
      </c>
      <c r="M256" s="37" t="s">
        <v>77</v>
      </c>
      <c r="N256" s="37" t="s">
        <v>77</v>
      </c>
      <c r="O256" s="37" t="s">
        <v>77</v>
      </c>
      <c r="P256" s="37" t="s">
        <v>77</v>
      </c>
      <c r="Q256" s="37" t="s">
        <v>846</v>
      </c>
    </row>
    <row r="257" spans="1:17" ht="15">
      <c r="A257">
        <v>255</v>
      </c>
      <c r="B257" s="37" t="s">
        <v>826</v>
      </c>
      <c r="C257" s="37" t="s">
        <v>847</v>
      </c>
      <c r="D257" s="37" t="s">
        <v>848</v>
      </c>
      <c r="E257" s="37">
        <v>3</v>
      </c>
      <c r="F257" s="37" t="s">
        <v>77</v>
      </c>
      <c r="G257" s="37" t="s">
        <v>77</v>
      </c>
      <c r="H257" s="37" t="s">
        <v>77</v>
      </c>
      <c r="I257" s="37" t="s">
        <v>77</v>
      </c>
      <c r="J257" s="37" t="s">
        <v>77</v>
      </c>
      <c r="K257" s="37" t="s">
        <v>77</v>
      </c>
      <c r="L257" s="37" t="s">
        <v>77</v>
      </c>
      <c r="M257" s="37" t="s">
        <v>77</v>
      </c>
      <c r="N257" s="37" t="s">
        <v>77</v>
      </c>
      <c r="O257" s="37" t="s">
        <v>77</v>
      </c>
      <c r="P257" s="37" t="s">
        <v>77</v>
      </c>
      <c r="Q257" s="37" t="s">
        <v>849</v>
      </c>
    </row>
    <row r="258" spans="1:17" ht="15">
      <c r="A258">
        <v>256</v>
      </c>
      <c r="B258" s="37" t="s">
        <v>826</v>
      </c>
      <c r="C258" s="37" t="s">
        <v>850</v>
      </c>
      <c r="D258" s="37" t="s">
        <v>851</v>
      </c>
      <c r="E258" s="37">
        <v>3</v>
      </c>
      <c r="F258" s="37" t="s">
        <v>77</v>
      </c>
      <c r="G258" s="37" t="s">
        <v>77</v>
      </c>
      <c r="H258" s="37" t="s">
        <v>77</v>
      </c>
      <c r="I258" s="37" t="s">
        <v>77</v>
      </c>
      <c r="J258" s="37" t="s">
        <v>77</v>
      </c>
      <c r="K258" s="37" t="s">
        <v>77</v>
      </c>
      <c r="L258" s="37" t="s">
        <v>77</v>
      </c>
      <c r="M258" s="37" t="s">
        <v>77</v>
      </c>
      <c r="N258" s="37" t="s">
        <v>77</v>
      </c>
      <c r="O258" s="37" t="s">
        <v>77</v>
      </c>
      <c r="P258" s="37" t="s">
        <v>77</v>
      </c>
      <c r="Q258" s="37" t="s">
        <v>852</v>
      </c>
    </row>
    <row r="259" spans="1:17" ht="15">
      <c r="A259">
        <v>257</v>
      </c>
      <c r="B259" s="37" t="s">
        <v>826</v>
      </c>
      <c r="C259" s="37" t="s">
        <v>853</v>
      </c>
      <c r="D259" s="37" t="s">
        <v>854</v>
      </c>
      <c r="E259" s="37">
        <v>3</v>
      </c>
      <c r="F259" s="37" t="s">
        <v>77</v>
      </c>
      <c r="G259" s="37" t="s">
        <v>77</v>
      </c>
      <c r="H259" s="37" t="s">
        <v>77</v>
      </c>
      <c r="I259" s="37" t="s">
        <v>77</v>
      </c>
      <c r="J259" s="37" t="s">
        <v>77</v>
      </c>
      <c r="K259" s="37" t="s">
        <v>77</v>
      </c>
      <c r="L259" s="37" t="s">
        <v>77</v>
      </c>
      <c r="M259" s="37" t="s">
        <v>77</v>
      </c>
      <c r="N259" s="37" t="s">
        <v>77</v>
      </c>
      <c r="O259" s="37" t="s">
        <v>77</v>
      </c>
      <c r="P259" s="37" t="s">
        <v>77</v>
      </c>
      <c r="Q259" s="37" t="s">
        <v>855</v>
      </c>
    </row>
    <row r="260" spans="1:17" ht="15">
      <c r="A260">
        <v>258</v>
      </c>
      <c r="B260" s="37" t="s">
        <v>826</v>
      </c>
      <c r="C260" s="37" t="s">
        <v>856</v>
      </c>
      <c r="D260" s="37" t="s">
        <v>857</v>
      </c>
      <c r="E260" s="37">
        <v>3</v>
      </c>
      <c r="F260" s="37" t="s">
        <v>77</v>
      </c>
      <c r="G260" s="37" t="s">
        <v>77</v>
      </c>
      <c r="H260" s="37" t="s">
        <v>77</v>
      </c>
      <c r="I260" s="37" t="s">
        <v>77</v>
      </c>
      <c r="J260" s="37" t="s">
        <v>77</v>
      </c>
      <c r="K260" s="37" t="s">
        <v>77</v>
      </c>
      <c r="L260" s="37" t="s">
        <v>77</v>
      </c>
      <c r="M260" s="37" t="s">
        <v>77</v>
      </c>
      <c r="N260" s="37" t="s">
        <v>77</v>
      </c>
      <c r="O260" s="37" t="s">
        <v>77</v>
      </c>
      <c r="P260" s="37" t="s">
        <v>77</v>
      </c>
      <c r="Q260" s="37" t="s">
        <v>858</v>
      </c>
    </row>
    <row r="261" spans="1:17" ht="15">
      <c r="A261">
        <v>259</v>
      </c>
      <c r="B261" s="37" t="s">
        <v>826</v>
      </c>
      <c r="C261" s="37" t="s">
        <v>859</v>
      </c>
      <c r="D261" s="37" t="s">
        <v>860</v>
      </c>
      <c r="E261" s="37">
        <v>3</v>
      </c>
      <c r="F261" s="37" t="s">
        <v>77</v>
      </c>
      <c r="G261" s="37" t="s">
        <v>77</v>
      </c>
      <c r="H261" s="37" t="s">
        <v>77</v>
      </c>
      <c r="I261" s="37" t="s">
        <v>77</v>
      </c>
      <c r="J261" s="37" t="s">
        <v>77</v>
      </c>
      <c r="K261" s="37" t="s">
        <v>77</v>
      </c>
      <c r="L261" s="37" t="s">
        <v>77</v>
      </c>
      <c r="M261" s="37" t="s">
        <v>77</v>
      </c>
      <c r="N261" s="37" t="s">
        <v>77</v>
      </c>
      <c r="O261" s="37" t="s">
        <v>77</v>
      </c>
      <c r="P261" s="37" t="s">
        <v>77</v>
      </c>
      <c r="Q261" s="37" t="s">
        <v>861</v>
      </c>
    </row>
    <row r="262" spans="1:17" ht="15">
      <c r="A262">
        <v>260</v>
      </c>
      <c r="B262" s="37" t="s">
        <v>826</v>
      </c>
      <c r="C262" s="37" t="s">
        <v>862</v>
      </c>
      <c r="D262" s="37" t="s">
        <v>863</v>
      </c>
      <c r="E262" s="37">
        <v>3</v>
      </c>
      <c r="F262" s="37" t="s">
        <v>77</v>
      </c>
      <c r="G262" s="37" t="s">
        <v>77</v>
      </c>
      <c r="H262" s="37" t="s">
        <v>77</v>
      </c>
      <c r="I262" s="37" t="s">
        <v>77</v>
      </c>
      <c r="J262" s="37" t="s">
        <v>77</v>
      </c>
      <c r="K262" s="37" t="s">
        <v>77</v>
      </c>
      <c r="L262" s="37" t="s">
        <v>77</v>
      </c>
      <c r="M262" s="37" t="s">
        <v>77</v>
      </c>
      <c r="N262" s="37" t="s">
        <v>77</v>
      </c>
      <c r="O262" s="37" t="s">
        <v>77</v>
      </c>
      <c r="P262" s="37" t="s">
        <v>77</v>
      </c>
      <c r="Q262" s="37" t="s">
        <v>864</v>
      </c>
    </row>
    <row r="263" spans="1:17" ht="15">
      <c r="A263">
        <v>261</v>
      </c>
      <c r="B263" s="37" t="s">
        <v>826</v>
      </c>
      <c r="C263" s="37" t="s">
        <v>865</v>
      </c>
      <c r="D263" s="37" t="s">
        <v>866</v>
      </c>
      <c r="E263" s="37">
        <v>3</v>
      </c>
      <c r="F263" s="37" t="s">
        <v>77</v>
      </c>
      <c r="G263" s="37" t="s">
        <v>77</v>
      </c>
      <c r="H263" s="37" t="s">
        <v>77</v>
      </c>
      <c r="I263" s="37" t="s">
        <v>77</v>
      </c>
      <c r="J263" s="37" t="s">
        <v>77</v>
      </c>
      <c r="K263" s="37" t="s">
        <v>77</v>
      </c>
      <c r="L263" s="37" t="s">
        <v>77</v>
      </c>
      <c r="M263" s="37" t="s">
        <v>77</v>
      </c>
      <c r="N263" s="37" t="s">
        <v>77</v>
      </c>
      <c r="O263" s="37" t="s">
        <v>77</v>
      </c>
      <c r="P263" s="37" t="s">
        <v>77</v>
      </c>
      <c r="Q263" s="37" t="s">
        <v>867</v>
      </c>
    </row>
    <row r="264" spans="1:17" ht="15">
      <c r="A264">
        <v>262</v>
      </c>
      <c r="B264" s="37" t="s">
        <v>826</v>
      </c>
      <c r="C264" s="37" t="s">
        <v>868</v>
      </c>
      <c r="D264" s="37" t="s">
        <v>869</v>
      </c>
      <c r="E264" s="37">
        <v>3</v>
      </c>
      <c r="F264" s="37" t="s">
        <v>77</v>
      </c>
      <c r="G264" s="37" t="s">
        <v>77</v>
      </c>
      <c r="H264" s="37" t="s">
        <v>77</v>
      </c>
      <c r="I264" s="37" t="s">
        <v>77</v>
      </c>
      <c r="J264" s="37" t="s">
        <v>77</v>
      </c>
      <c r="K264" s="37" t="s">
        <v>77</v>
      </c>
      <c r="L264" s="37" t="s">
        <v>77</v>
      </c>
      <c r="M264" s="37" t="s">
        <v>77</v>
      </c>
      <c r="N264" s="37" t="s">
        <v>77</v>
      </c>
      <c r="O264" s="37" t="s">
        <v>77</v>
      </c>
      <c r="P264" s="37" t="s">
        <v>77</v>
      </c>
      <c r="Q264" s="37" t="s">
        <v>680</v>
      </c>
    </row>
    <row r="265" spans="1:17" ht="15">
      <c r="A265">
        <v>263</v>
      </c>
      <c r="B265" s="37" t="s">
        <v>826</v>
      </c>
      <c r="C265" s="37" t="s">
        <v>870</v>
      </c>
      <c r="D265" s="37" t="s">
        <v>871</v>
      </c>
      <c r="E265" s="37">
        <v>3</v>
      </c>
      <c r="F265" s="37" t="s">
        <v>77</v>
      </c>
      <c r="G265" s="37" t="s">
        <v>77</v>
      </c>
      <c r="H265" s="37" t="s">
        <v>77</v>
      </c>
      <c r="I265" s="37" t="s">
        <v>77</v>
      </c>
      <c r="J265" s="37" t="s">
        <v>77</v>
      </c>
      <c r="K265" s="37" t="s">
        <v>77</v>
      </c>
      <c r="L265" s="37" t="s">
        <v>77</v>
      </c>
      <c r="M265" s="37" t="s">
        <v>77</v>
      </c>
      <c r="N265" s="37" t="s">
        <v>77</v>
      </c>
      <c r="O265" s="37" t="s">
        <v>77</v>
      </c>
      <c r="P265" s="37" t="s">
        <v>77</v>
      </c>
      <c r="Q265" s="37" t="s">
        <v>872</v>
      </c>
    </row>
    <row r="266" spans="1:17" ht="15">
      <c r="A266">
        <v>264</v>
      </c>
      <c r="B266" s="37" t="s">
        <v>826</v>
      </c>
      <c r="C266" s="37" t="s">
        <v>873</v>
      </c>
      <c r="D266" s="37" t="s">
        <v>874</v>
      </c>
      <c r="E266" s="37">
        <v>3</v>
      </c>
      <c r="F266" s="37" t="s">
        <v>77</v>
      </c>
      <c r="G266" s="37" t="s">
        <v>77</v>
      </c>
      <c r="H266" s="37" t="s">
        <v>77</v>
      </c>
      <c r="I266" s="37" t="s">
        <v>77</v>
      </c>
      <c r="J266" s="37" t="s">
        <v>77</v>
      </c>
      <c r="K266" s="37" t="s">
        <v>77</v>
      </c>
      <c r="L266" s="37" t="s">
        <v>77</v>
      </c>
      <c r="M266" s="37" t="s">
        <v>77</v>
      </c>
      <c r="N266" s="37" t="s">
        <v>77</v>
      </c>
      <c r="O266" s="37" t="s">
        <v>77</v>
      </c>
      <c r="P266" s="37" t="s">
        <v>77</v>
      </c>
      <c r="Q266" s="37" t="s">
        <v>875</v>
      </c>
    </row>
    <row r="267" spans="1:17" ht="15">
      <c r="A267">
        <v>265</v>
      </c>
      <c r="B267" s="37" t="s">
        <v>826</v>
      </c>
      <c r="C267" s="37" t="s">
        <v>876</v>
      </c>
      <c r="D267" s="37" t="s">
        <v>877</v>
      </c>
      <c r="E267" s="37">
        <v>3</v>
      </c>
      <c r="F267" s="37" t="s">
        <v>77</v>
      </c>
      <c r="G267" s="37" t="s">
        <v>77</v>
      </c>
      <c r="H267" s="37" t="s">
        <v>77</v>
      </c>
      <c r="I267" s="37" t="s">
        <v>77</v>
      </c>
      <c r="J267" s="37" t="s">
        <v>77</v>
      </c>
      <c r="K267" s="37" t="s">
        <v>77</v>
      </c>
      <c r="L267" s="37" t="s">
        <v>77</v>
      </c>
      <c r="M267" s="37" t="s">
        <v>77</v>
      </c>
      <c r="N267" s="37" t="s">
        <v>77</v>
      </c>
      <c r="O267" s="37" t="s">
        <v>77</v>
      </c>
      <c r="P267" s="37" t="s">
        <v>77</v>
      </c>
      <c r="Q267" s="37" t="s">
        <v>878</v>
      </c>
    </row>
    <row r="268" spans="1:17" ht="15">
      <c r="A268">
        <v>266</v>
      </c>
      <c r="B268" s="37" t="s">
        <v>826</v>
      </c>
      <c r="C268" s="37" t="s">
        <v>879</v>
      </c>
      <c r="D268" s="37" t="s">
        <v>880</v>
      </c>
      <c r="E268" s="37">
        <v>3</v>
      </c>
      <c r="F268" s="37" t="s">
        <v>77</v>
      </c>
      <c r="G268" s="37" t="s">
        <v>77</v>
      </c>
      <c r="H268" s="37" t="s">
        <v>77</v>
      </c>
      <c r="I268" s="37" t="s">
        <v>77</v>
      </c>
      <c r="J268" s="37" t="s">
        <v>77</v>
      </c>
      <c r="K268" s="37" t="s">
        <v>77</v>
      </c>
      <c r="L268" s="37" t="s">
        <v>77</v>
      </c>
      <c r="M268" s="37" t="s">
        <v>77</v>
      </c>
      <c r="N268" s="37" t="s">
        <v>77</v>
      </c>
      <c r="O268" s="37" t="s">
        <v>77</v>
      </c>
      <c r="P268" s="37" t="s">
        <v>77</v>
      </c>
      <c r="Q268" s="37" t="s">
        <v>881</v>
      </c>
    </row>
    <row r="269" spans="1:17" ht="15">
      <c r="A269">
        <v>267</v>
      </c>
      <c r="B269" s="37" t="s">
        <v>826</v>
      </c>
      <c r="C269" s="37" t="s">
        <v>882</v>
      </c>
      <c r="D269" s="37" t="s">
        <v>883</v>
      </c>
      <c r="E269" s="37">
        <v>3</v>
      </c>
      <c r="F269" s="37" t="s">
        <v>77</v>
      </c>
      <c r="G269" s="37" t="s">
        <v>77</v>
      </c>
      <c r="H269" s="37" t="s">
        <v>77</v>
      </c>
      <c r="I269" s="37" t="s">
        <v>77</v>
      </c>
      <c r="J269" s="37" t="s">
        <v>77</v>
      </c>
      <c r="K269" s="37" t="s">
        <v>77</v>
      </c>
      <c r="L269" s="37" t="s">
        <v>77</v>
      </c>
      <c r="M269" s="37" t="s">
        <v>77</v>
      </c>
      <c r="N269" s="37" t="s">
        <v>78</v>
      </c>
      <c r="O269" s="37" t="s">
        <v>77</v>
      </c>
      <c r="P269" s="37" t="s">
        <v>77</v>
      </c>
      <c r="Q269" s="37" t="s">
        <v>884</v>
      </c>
    </row>
    <row r="270" spans="1:17" ht="15">
      <c r="A270">
        <v>268</v>
      </c>
      <c r="B270" s="37" t="s">
        <v>826</v>
      </c>
      <c r="C270" s="37" t="s">
        <v>885</v>
      </c>
      <c r="D270" s="37" t="s">
        <v>886</v>
      </c>
      <c r="E270" s="37">
        <v>3</v>
      </c>
      <c r="F270" s="37" t="s">
        <v>77</v>
      </c>
      <c r="G270" s="37" t="s">
        <v>77</v>
      </c>
      <c r="H270" s="37" t="s">
        <v>77</v>
      </c>
      <c r="I270" s="37" t="s">
        <v>77</v>
      </c>
      <c r="J270" s="37" t="s">
        <v>77</v>
      </c>
      <c r="K270" s="37" t="s">
        <v>77</v>
      </c>
      <c r="L270" s="37" t="s">
        <v>77</v>
      </c>
      <c r="M270" s="37" t="s">
        <v>77</v>
      </c>
      <c r="N270" s="37" t="s">
        <v>77</v>
      </c>
      <c r="O270" s="37" t="s">
        <v>77</v>
      </c>
      <c r="P270" s="37" t="s">
        <v>77</v>
      </c>
      <c r="Q270" s="37" t="s">
        <v>887</v>
      </c>
    </row>
    <row r="271" spans="1:17" ht="15">
      <c r="A271">
        <v>269</v>
      </c>
      <c r="B271" s="37" t="s">
        <v>826</v>
      </c>
      <c r="C271" s="37" t="s">
        <v>888</v>
      </c>
      <c r="D271" s="37" t="s">
        <v>889</v>
      </c>
      <c r="E271" s="37">
        <v>3</v>
      </c>
      <c r="F271" s="37" t="s">
        <v>77</v>
      </c>
      <c r="G271" s="37" t="s">
        <v>77</v>
      </c>
      <c r="H271" s="37" t="s">
        <v>77</v>
      </c>
      <c r="I271" s="37" t="s">
        <v>77</v>
      </c>
      <c r="J271" s="37" t="s">
        <v>77</v>
      </c>
      <c r="K271" s="37" t="s">
        <v>77</v>
      </c>
      <c r="L271" s="37" t="s">
        <v>77</v>
      </c>
      <c r="M271" s="37" t="s">
        <v>77</v>
      </c>
      <c r="N271" s="37" t="s">
        <v>77</v>
      </c>
      <c r="O271" s="37" t="s">
        <v>77</v>
      </c>
      <c r="P271" s="37" t="s">
        <v>77</v>
      </c>
      <c r="Q271" s="37" t="s">
        <v>890</v>
      </c>
    </row>
    <row r="272" spans="1:17" ht="15">
      <c r="A272">
        <v>270</v>
      </c>
      <c r="B272" s="37" t="s">
        <v>826</v>
      </c>
      <c r="C272" s="37" t="s">
        <v>891</v>
      </c>
      <c r="D272" s="37" t="s">
        <v>892</v>
      </c>
      <c r="E272" s="37">
        <v>3</v>
      </c>
      <c r="F272" s="37" t="s">
        <v>77</v>
      </c>
      <c r="G272" s="37" t="s">
        <v>77</v>
      </c>
      <c r="H272" s="37" t="s">
        <v>77</v>
      </c>
      <c r="I272" s="37" t="s">
        <v>77</v>
      </c>
      <c r="J272" s="37" t="s">
        <v>77</v>
      </c>
      <c r="K272" s="37" t="s">
        <v>77</v>
      </c>
      <c r="L272" s="37" t="s">
        <v>77</v>
      </c>
      <c r="M272" s="37" t="s">
        <v>77</v>
      </c>
      <c r="N272" s="37" t="s">
        <v>77</v>
      </c>
      <c r="O272" s="37" t="s">
        <v>77</v>
      </c>
      <c r="P272" s="37" t="s">
        <v>77</v>
      </c>
      <c r="Q272" s="37" t="s">
        <v>893</v>
      </c>
    </row>
    <row r="273" spans="1:17" ht="15">
      <c r="A273">
        <v>271</v>
      </c>
      <c r="B273" s="37" t="s">
        <v>826</v>
      </c>
      <c r="C273" s="37" t="s">
        <v>894</v>
      </c>
      <c r="D273" s="37" t="s">
        <v>895</v>
      </c>
      <c r="E273" s="37">
        <v>3</v>
      </c>
      <c r="F273" s="37" t="s">
        <v>77</v>
      </c>
      <c r="G273" s="37" t="s">
        <v>77</v>
      </c>
      <c r="H273" s="37" t="s">
        <v>77</v>
      </c>
      <c r="I273" s="37" t="s">
        <v>77</v>
      </c>
      <c r="J273" s="37" t="s">
        <v>77</v>
      </c>
      <c r="K273" s="37" t="s">
        <v>77</v>
      </c>
      <c r="L273" s="37" t="s">
        <v>77</v>
      </c>
      <c r="M273" s="37" t="s">
        <v>77</v>
      </c>
      <c r="N273" s="37" t="s">
        <v>77</v>
      </c>
      <c r="O273" s="37" t="s">
        <v>77</v>
      </c>
      <c r="P273" s="37" t="s">
        <v>77</v>
      </c>
      <c r="Q273" s="37" t="s">
        <v>896</v>
      </c>
    </row>
    <row r="274" spans="1:17" ht="15">
      <c r="A274">
        <v>272</v>
      </c>
      <c r="B274" s="37" t="s">
        <v>826</v>
      </c>
      <c r="C274" s="37" t="s">
        <v>897</v>
      </c>
      <c r="D274" s="37" t="s">
        <v>898</v>
      </c>
      <c r="E274" s="37">
        <v>3</v>
      </c>
      <c r="F274" s="37" t="s">
        <v>77</v>
      </c>
      <c r="G274" s="37" t="s">
        <v>77</v>
      </c>
      <c r="H274" s="37" t="s">
        <v>77</v>
      </c>
      <c r="I274" s="37" t="s">
        <v>77</v>
      </c>
      <c r="J274" s="37" t="s">
        <v>77</v>
      </c>
      <c r="K274" s="37" t="s">
        <v>77</v>
      </c>
      <c r="L274" s="37" t="s">
        <v>77</v>
      </c>
      <c r="M274" s="37" t="s">
        <v>77</v>
      </c>
      <c r="N274" s="37" t="s">
        <v>77</v>
      </c>
      <c r="O274" s="37" t="s">
        <v>77</v>
      </c>
      <c r="P274" s="37" t="s">
        <v>77</v>
      </c>
      <c r="Q274" s="37" t="s">
        <v>899</v>
      </c>
    </row>
    <row r="275" spans="1:17" ht="15">
      <c r="A275">
        <v>273</v>
      </c>
      <c r="B275" s="37" t="s">
        <v>826</v>
      </c>
      <c r="C275" s="37" t="s">
        <v>900</v>
      </c>
      <c r="D275" s="37" t="s">
        <v>901</v>
      </c>
      <c r="E275" s="37">
        <v>3</v>
      </c>
      <c r="F275" s="37" t="s">
        <v>77</v>
      </c>
      <c r="G275" s="37" t="s">
        <v>77</v>
      </c>
      <c r="H275" s="37" t="s">
        <v>77</v>
      </c>
      <c r="I275" s="37" t="s">
        <v>77</v>
      </c>
      <c r="J275" s="37" t="s">
        <v>77</v>
      </c>
      <c r="K275" s="37" t="s">
        <v>77</v>
      </c>
      <c r="L275" s="37" t="s">
        <v>77</v>
      </c>
      <c r="M275" s="37" t="s">
        <v>77</v>
      </c>
      <c r="N275" s="37" t="s">
        <v>77</v>
      </c>
      <c r="O275" s="37" t="s">
        <v>77</v>
      </c>
      <c r="P275" s="37" t="s">
        <v>77</v>
      </c>
      <c r="Q275" s="37" t="s">
        <v>902</v>
      </c>
    </row>
    <row r="276" spans="1:17" ht="15">
      <c r="A276">
        <v>274</v>
      </c>
      <c r="B276" s="37" t="s">
        <v>826</v>
      </c>
      <c r="C276" s="37" t="s">
        <v>903</v>
      </c>
      <c r="D276" s="37" t="s">
        <v>904</v>
      </c>
      <c r="E276" s="37">
        <v>3</v>
      </c>
      <c r="F276" s="37" t="s">
        <v>77</v>
      </c>
      <c r="G276" s="37" t="s">
        <v>77</v>
      </c>
      <c r="H276" s="37" t="s">
        <v>77</v>
      </c>
      <c r="I276" s="37" t="s">
        <v>77</v>
      </c>
      <c r="J276" s="37" t="s">
        <v>77</v>
      </c>
      <c r="K276" s="37" t="s">
        <v>77</v>
      </c>
      <c r="L276" s="37" t="s">
        <v>77</v>
      </c>
      <c r="M276" s="37" t="s">
        <v>77</v>
      </c>
      <c r="N276" s="37" t="s">
        <v>77</v>
      </c>
      <c r="O276" s="37" t="s">
        <v>77</v>
      </c>
      <c r="P276" s="37" t="s">
        <v>77</v>
      </c>
      <c r="Q276" s="37" t="s">
        <v>905</v>
      </c>
    </row>
    <row r="277" spans="1:17" ht="15">
      <c r="A277">
        <v>275</v>
      </c>
      <c r="B277" s="37" t="s">
        <v>906</v>
      </c>
      <c r="C277" s="37" t="s">
        <v>907</v>
      </c>
      <c r="D277" s="37" t="s">
        <v>908</v>
      </c>
      <c r="E277" s="37">
        <v>3</v>
      </c>
      <c r="F277" s="37" t="s">
        <v>77</v>
      </c>
      <c r="G277" s="37" t="s">
        <v>77</v>
      </c>
      <c r="H277" s="37" t="s">
        <v>77</v>
      </c>
      <c r="I277" s="37" t="s">
        <v>77</v>
      </c>
      <c r="J277" s="37" t="s">
        <v>77</v>
      </c>
      <c r="K277" s="37" t="s">
        <v>77</v>
      </c>
      <c r="L277" s="37" t="s">
        <v>77</v>
      </c>
      <c r="M277" s="37" t="s">
        <v>77</v>
      </c>
      <c r="N277" s="37" t="s">
        <v>78</v>
      </c>
      <c r="O277" s="37" t="s">
        <v>77</v>
      </c>
      <c r="P277" s="37" t="s">
        <v>77</v>
      </c>
      <c r="Q277" s="37" t="s">
        <v>909</v>
      </c>
    </row>
    <row r="278" spans="1:17" ht="15">
      <c r="A278">
        <v>276</v>
      </c>
      <c r="B278" s="37" t="s">
        <v>906</v>
      </c>
      <c r="C278" s="37" t="s">
        <v>910</v>
      </c>
      <c r="D278" s="37" t="s">
        <v>911</v>
      </c>
      <c r="E278" s="37">
        <v>3</v>
      </c>
      <c r="F278" s="37" t="s">
        <v>77</v>
      </c>
      <c r="G278" s="37" t="s">
        <v>77</v>
      </c>
      <c r="H278" s="37" t="s">
        <v>77</v>
      </c>
      <c r="I278" s="37" t="s">
        <v>77</v>
      </c>
      <c r="J278" s="37" t="s">
        <v>77</v>
      </c>
      <c r="K278" s="37" t="s">
        <v>77</v>
      </c>
      <c r="L278" s="37" t="s">
        <v>77</v>
      </c>
      <c r="M278" s="37" t="s">
        <v>77</v>
      </c>
      <c r="N278" s="37" t="s">
        <v>77</v>
      </c>
      <c r="O278" s="37" t="s">
        <v>77</v>
      </c>
      <c r="P278" s="37" t="s">
        <v>77</v>
      </c>
      <c r="Q278" s="37" t="s">
        <v>912</v>
      </c>
    </row>
    <row r="279" spans="1:17" ht="15">
      <c r="A279">
        <v>277</v>
      </c>
      <c r="B279" s="37" t="s">
        <v>906</v>
      </c>
      <c r="C279" s="37" t="s">
        <v>913</v>
      </c>
      <c r="D279" s="37" t="s">
        <v>914</v>
      </c>
      <c r="E279" s="37">
        <v>3</v>
      </c>
      <c r="F279" s="37" t="s">
        <v>77</v>
      </c>
      <c r="G279" s="37" t="s">
        <v>77</v>
      </c>
      <c r="H279" s="37" t="s">
        <v>77</v>
      </c>
      <c r="I279" s="37" t="s">
        <v>77</v>
      </c>
      <c r="J279" s="37" t="s">
        <v>77</v>
      </c>
      <c r="K279" s="37" t="s">
        <v>77</v>
      </c>
      <c r="L279" s="37" t="s">
        <v>77</v>
      </c>
      <c r="M279" s="37" t="s">
        <v>77</v>
      </c>
      <c r="N279" s="37" t="s">
        <v>77</v>
      </c>
      <c r="O279" s="37" t="s">
        <v>77</v>
      </c>
      <c r="P279" s="37" t="s">
        <v>77</v>
      </c>
      <c r="Q279" s="37" t="s">
        <v>915</v>
      </c>
    </row>
    <row r="280" spans="1:17" ht="15">
      <c r="A280">
        <v>278</v>
      </c>
      <c r="B280" s="37" t="s">
        <v>906</v>
      </c>
      <c r="C280" s="37" t="s">
        <v>916</v>
      </c>
      <c r="D280" s="37" t="s">
        <v>917</v>
      </c>
      <c r="E280" s="37">
        <v>3</v>
      </c>
      <c r="F280" s="37" t="s">
        <v>77</v>
      </c>
      <c r="G280" s="37" t="s">
        <v>77</v>
      </c>
      <c r="H280" s="37" t="s">
        <v>77</v>
      </c>
      <c r="I280" s="37" t="s">
        <v>77</v>
      </c>
      <c r="J280" s="37" t="s">
        <v>77</v>
      </c>
      <c r="K280" s="37" t="s">
        <v>77</v>
      </c>
      <c r="L280" s="37" t="s">
        <v>77</v>
      </c>
      <c r="M280" s="37" t="s">
        <v>77</v>
      </c>
      <c r="N280" s="37" t="s">
        <v>77</v>
      </c>
      <c r="O280" s="37" t="s">
        <v>77</v>
      </c>
      <c r="P280" s="37" t="s">
        <v>77</v>
      </c>
      <c r="Q280" s="37" t="s">
        <v>918</v>
      </c>
    </row>
    <row r="281" spans="1:17" ht="15">
      <c r="A281">
        <v>279</v>
      </c>
      <c r="B281" s="37" t="s">
        <v>906</v>
      </c>
      <c r="C281" s="37" t="s">
        <v>919</v>
      </c>
      <c r="D281" s="37" t="s">
        <v>920</v>
      </c>
      <c r="E281" s="37">
        <v>3</v>
      </c>
      <c r="F281" s="37" t="s">
        <v>77</v>
      </c>
      <c r="G281" s="37" t="s">
        <v>77</v>
      </c>
      <c r="H281" s="37" t="s">
        <v>77</v>
      </c>
      <c r="I281" s="37" t="s">
        <v>77</v>
      </c>
      <c r="J281" s="37" t="s">
        <v>77</v>
      </c>
      <c r="K281" s="37" t="s">
        <v>77</v>
      </c>
      <c r="L281" s="37" t="s">
        <v>77</v>
      </c>
      <c r="M281" s="37" t="s">
        <v>77</v>
      </c>
      <c r="N281" s="37" t="s">
        <v>77</v>
      </c>
      <c r="O281" s="37" t="s">
        <v>77</v>
      </c>
      <c r="P281" s="37" t="s">
        <v>77</v>
      </c>
      <c r="Q281" s="37" t="s">
        <v>921</v>
      </c>
    </row>
    <row r="282" spans="1:17" ht="15">
      <c r="A282">
        <v>280</v>
      </c>
      <c r="B282" s="37" t="s">
        <v>906</v>
      </c>
      <c r="C282" s="37" t="s">
        <v>922</v>
      </c>
      <c r="D282" s="37" t="s">
        <v>923</v>
      </c>
      <c r="E282" s="37">
        <v>3</v>
      </c>
      <c r="F282" s="37" t="s">
        <v>77</v>
      </c>
      <c r="G282" s="37" t="s">
        <v>77</v>
      </c>
      <c r="H282" s="37" t="s">
        <v>77</v>
      </c>
      <c r="I282" s="37" t="s">
        <v>77</v>
      </c>
      <c r="J282" s="37" t="s">
        <v>77</v>
      </c>
      <c r="K282" s="37" t="s">
        <v>77</v>
      </c>
      <c r="L282" s="37" t="s">
        <v>77</v>
      </c>
      <c r="M282" s="37" t="s">
        <v>77</v>
      </c>
      <c r="N282" s="37" t="s">
        <v>77</v>
      </c>
      <c r="O282" s="37" t="s">
        <v>77</v>
      </c>
      <c r="P282" s="37" t="s">
        <v>77</v>
      </c>
      <c r="Q282" s="37" t="s">
        <v>924</v>
      </c>
    </row>
    <row r="283" spans="1:17" ht="15">
      <c r="A283">
        <v>281</v>
      </c>
      <c r="B283" s="37" t="s">
        <v>906</v>
      </c>
      <c r="C283" s="37" t="s">
        <v>925</v>
      </c>
      <c r="D283" s="37" t="s">
        <v>926</v>
      </c>
      <c r="E283" s="37">
        <v>3</v>
      </c>
      <c r="F283" s="37" t="s">
        <v>77</v>
      </c>
      <c r="G283" s="37" t="s">
        <v>77</v>
      </c>
      <c r="H283" s="37" t="s">
        <v>77</v>
      </c>
      <c r="I283" s="37" t="s">
        <v>77</v>
      </c>
      <c r="J283" s="37" t="s">
        <v>77</v>
      </c>
      <c r="K283" s="37" t="s">
        <v>77</v>
      </c>
      <c r="L283" s="37" t="s">
        <v>77</v>
      </c>
      <c r="M283" s="37" t="s">
        <v>77</v>
      </c>
      <c r="N283" s="37" t="s">
        <v>77</v>
      </c>
      <c r="O283" s="37" t="s">
        <v>77</v>
      </c>
      <c r="P283" s="37" t="s">
        <v>77</v>
      </c>
      <c r="Q283" s="37" t="s">
        <v>927</v>
      </c>
    </row>
    <row r="284" spans="1:17" ht="15">
      <c r="A284">
        <v>282</v>
      </c>
      <c r="B284" s="37" t="s">
        <v>906</v>
      </c>
      <c r="C284" s="37" t="s">
        <v>928</v>
      </c>
      <c r="D284" s="37" t="s">
        <v>929</v>
      </c>
      <c r="E284" s="37">
        <v>3</v>
      </c>
      <c r="F284" s="37" t="s">
        <v>77</v>
      </c>
      <c r="G284" s="37" t="s">
        <v>77</v>
      </c>
      <c r="H284" s="37" t="s">
        <v>77</v>
      </c>
      <c r="I284" s="37" t="s">
        <v>77</v>
      </c>
      <c r="J284" s="37" t="s">
        <v>77</v>
      </c>
      <c r="K284" s="37" t="s">
        <v>77</v>
      </c>
      <c r="L284" s="37" t="s">
        <v>77</v>
      </c>
      <c r="M284" s="37" t="s">
        <v>77</v>
      </c>
      <c r="N284" s="37" t="s">
        <v>77</v>
      </c>
      <c r="O284" s="37" t="s">
        <v>77</v>
      </c>
      <c r="P284" s="37" t="s">
        <v>77</v>
      </c>
      <c r="Q284" s="37" t="s">
        <v>930</v>
      </c>
    </row>
    <row r="285" spans="1:17" ht="15">
      <c r="A285">
        <v>283</v>
      </c>
      <c r="B285" s="37" t="s">
        <v>906</v>
      </c>
      <c r="C285" s="37" t="s">
        <v>931</v>
      </c>
      <c r="D285" s="37" t="s">
        <v>932</v>
      </c>
      <c r="E285" s="37">
        <v>3</v>
      </c>
      <c r="F285" s="37" t="s">
        <v>77</v>
      </c>
      <c r="G285" s="37" t="s">
        <v>77</v>
      </c>
      <c r="H285" s="37" t="s">
        <v>77</v>
      </c>
      <c r="I285" s="37" t="s">
        <v>77</v>
      </c>
      <c r="J285" s="37" t="s">
        <v>77</v>
      </c>
      <c r="K285" s="37" t="s">
        <v>77</v>
      </c>
      <c r="L285" s="37" t="s">
        <v>77</v>
      </c>
      <c r="M285" s="37" t="s">
        <v>77</v>
      </c>
      <c r="N285" s="37" t="s">
        <v>77</v>
      </c>
      <c r="O285" s="37" t="s">
        <v>77</v>
      </c>
      <c r="P285" s="37" t="s">
        <v>77</v>
      </c>
      <c r="Q285" s="37" t="s">
        <v>933</v>
      </c>
    </row>
    <row r="286" spans="1:17" ht="15">
      <c r="A286">
        <v>284</v>
      </c>
      <c r="B286" s="37" t="s">
        <v>906</v>
      </c>
      <c r="C286" s="37" t="s">
        <v>934</v>
      </c>
      <c r="D286" s="37" t="s">
        <v>935</v>
      </c>
      <c r="E286" s="37">
        <v>3</v>
      </c>
      <c r="F286" s="37" t="s">
        <v>77</v>
      </c>
      <c r="G286" s="37" t="s">
        <v>77</v>
      </c>
      <c r="H286" s="37" t="s">
        <v>77</v>
      </c>
      <c r="I286" s="37" t="s">
        <v>77</v>
      </c>
      <c r="J286" s="37" t="s">
        <v>77</v>
      </c>
      <c r="K286" s="37" t="s">
        <v>77</v>
      </c>
      <c r="L286" s="37" t="s">
        <v>77</v>
      </c>
      <c r="M286" s="37" t="s">
        <v>77</v>
      </c>
      <c r="N286" s="37" t="s">
        <v>77</v>
      </c>
      <c r="O286" s="37" t="s">
        <v>77</v>
      </c>
      <c r="P286" s="37" t="s">
        <v>77</v>
      </c>
      <c r="Q286" s="37" t="s">
        <v>936</v>
      </c>
    </row>
    <row r="287" spans="1:17" ht="15">
      <c r="A287">
        <v>285</v>
      </c>
      <c r="B287" s="37" t="s">
        <v>906</v>
      </c>
      <c r="C287" s="37" t="s">
        <v>937</v>
      </c>
      <c r="D287" s="37" t="s">
        <v>938</v>
      </c>
      <c r="E287" s="37">
        <v>3</v>
      </c>
      <c r="F287" s="37" t="s">
        <v>77</v>
      </c>
      <c r="G287" s="37" t="s">
        <v>77</v>
      </c>
      <c r="H287" s="37" t="s">
        <v>77</v>
      </c>
      <c r="I287" s="37" t="s">
        <v>77</v>
      </c>
      <c r="J287" s="37" t="s">
        <v>77</v>
      </c>
      <c r="K287" s="37" t="s">
        <v>77</v>
      </c>
      <c r="L287" s="37" t="s">
        <v>77</v>
      </c>
      <c r="M287" s="37" t="s">
        <v>77</v>
      </c>
      <c r="N287" s="37" t="s">
        <v>77</v>
      </c>
      <c r="O287" s="37" t="s">
        <v>77</v>
      </c>
      <c r="P287" s="37" t="s">
        <v>77</v>
      </c>
      <c r="Q287" s="37" t="s">
        <v>939</v>
      </c>
    </row>
    <row r="288" spans="1:17" ht="15">
      <c r="A288">
        <v>286</v>
      </c>
      <c r="B288" s="37" t="s">
        <v>906</v>
      </c>
      <c r="C288" s="37" t="s">
        <v>940</v>
      </c>
      <c r="D288" s="37" t="s">
        <v>941</v>
      </c>
      <c r="E288" s="37">
        <v>3</v>
      </c>
      <c r="F288" s="37" t="s">
        <v>77</v>
      </c>
      <c r="G288" s="37" t="s">
        <v>77</v>
      </c>
      <c r="H288" s="37" t="s">
        <v>77</v>
      </c>
      <c r="I288" s="37" t="s">
        <v>77</v>
      </c>
      <c r="J288" s="37" t="s">
        <v>77</v>
      </c>
      <c r="K288" s="37" t="s">
        <v>77</v>
      </c>
      <c r="L288" s="37" t="s">
        <v>77</v>
      </c>
      <c r="M288" s="37" t="s">
        <v>77</v>
      </c>
      <c r="N288" s="37" t="s">
        <v>77</v>
      </c>
      <c r="O288" s="37" t="s">
        <v>77</v>
      </c>
      <c r="P288" s="37" t="s">
        <v>77</v>
      </c>
      <c r="Q288" s="37" t="s">
        <v>942</v>
      </c>
    </row>
    <row r="289" spans="1:17" ht="15">
      <c r="A289">
        <v>287</v>
      </c>
      <c r="B289" s="37" t="s">
        <v>906</v>
      </c>
      <c r="C289" s="37" t="s">
        <v>943</v>
      </c>
      <c r="D289" s="37" t="s">
        <v>944</v>
      </c>
      <c r="E289" s="37">
        <v>3</v>
      </c>
      <c r="F289" s="37" t="s">
        <v>77</v>
      </c>
      <c r="G289" s="37" t="s">
        <v>77</v>
      </c>
      <c r="H289" s="37" t="s">
        <v>77</v>
      </c>
      <c r="I289" s="37" t="s">
        <v>77</v>
      </c>
      <c r="J289" s="37" t="s">
        <v>77</v>
      </c>
      <c r="K289" s="37" t="s">
        <v>77</v>
      </c>
      <c r="L289" s="37" t="s">
        <v>77</v>
      </c>
      <c r="M289" s="37" t="s">
        <v>77</v>
      </c>
      <c r="N289" s="37" t="s">
        <v>77</v>
      </c>
      <c r="O289" s="37" t="s">
        <v>77</v>
      </c>
      <c r="P289" s="37" t="s">
        <v>77</v>
      </c>
      <c r="Q289" s="37" t="s">
        <v>945</v>
      </c>
    </row>
    <row r="290" spans="1:17" ht="15">
      <c r="A290">
        <v>288</v>
      </c>
      <c r="B290" s="37" t="s">
        <v>906</v>
      </c>
      <c r="C290" s="37" t="s">
        <v>946</v>
      </c>
      <c r="D290" s="37" t="s">
        <v>947</v>
      </c>
      <c r="E290" s="37">
        <v>3</v>
      </c>
      <c r="F290" s="37" t="s">
        <v>77</v>
      </c>
      <c r="G290" s="37" t="s">
        <v>77</v>
      </c>
      <c r="H290" s="37" t="s">
        <v>77</v>
      </c>
      <c r="I290" s="37" t="s">
        <v>77</v>
      </c>
      <c r="J290" s="37" t="s">
        <v>77</v>
      </c>
      <c r="K290" s="37" t="s">
        <v>77</v>
      </c>
      <c r="L290" s="37" t="s">
        <v>77</v>
      </c>
      <c r="M290" s="37" t="s">
        <v>77</v>
      </c>
      <c r="N290" s="37" t="s">
        <v>77</v>
      </c>
      <c r="O290" s="37" t="s">
        <v>77</v>
      </c>
      <c r="P290" s="37" t="s">
        <v>77</v>
      </c>
      <c r="Q290" s="37" t="s">
        <v>948</v>
      </c>
    </row>
    <row r="291" spans="1:17" ht="15">
      <c r="A291">
        <v>289</v>
      </c>
      <c r="B291" s="37" t="s">
        <v>906</v>
      </c>
      <c r="C291" s="37" t="s">
        <v>949</v>
      </c>
      <c r="D291" s="37" t="s">
        <v>950</v>
      </c>
      <c r="E291" s="37">
        <v>3</v>
      </c>
      <c r="F291" s="37" t="s">
        <v>77</v>
      </c>
      <c r="G291" s="37" t="s">
        <v>77</v>
      </c>
      <c r="H291" s="37" t="s">
        <v>77</v>
      </c>
      <c r="I291" s="37" t="s">
        <v>77</v>
      </c>
      <c r="J291" s="37" t="s">
        <v>77</v>
      </c>
      <c r="K291" s="37" t="s">
        <v>77</v>
      </c>
      <c r="L291" s="37" t="s">
        <v>77</v>
      </c>
      <c r="M291" s="37" t="s">
        <v>77</v>
      </c>
      <c r="N291" s="37" t="s">
        <v>77</v>
      </c>
      <c r="O291" s="37" t="s">
        <v>77</v>
      </c>
      <c r="P291" s="37" t="s">
        <v>77</v>
      </c>
      <c r="Q291" s="37" t="s">
        <v>951</v>
      </c>
    </row>
    <row r="292" spans="1:17" ht="15">
      <c r="A292">
        <v>290</v>
      </c>
      <c r="B292" s="37" t="s">
        <v>906</v>
      </c>
      <c r="C292" s="37" t="s">
        <v>952</v>
      </c>
      <c r="D292" s="37" t="s">
        <v>953</v>
      </c>
      <c r="E292" s="37">
        <v>3</v>
      </c>
      <c r="F292" s="37" t="s">
        <v>77</v>
      </c>
      <c r="G292" s="37" t="s">
        <v>77</v>
      </c>
      <c r="H292" s="37" t="s">
        <v>77</v>
      </c>
      <c r="I292" s="37" t="s">
        <v>77</v>
      </c>
      <c r="J292" s="37" t="s">
        <v>77</v>
      </c>
      <c r="K292" s="37" t="s">
        <v>77</v>
      </c>
      <c r="L292" s="37" t="s">
        <v>77</v>
      </c>
      <c r="M292" s="37" t="s">
        <v>77</v>
      </c>
      <c r="N292" s="37" t="s">
        <v>77</v>
      </c>
      <c r="O292" s="37" t="s">
        <v>77</v>
      </c>
      <c r="P292" s="37" t="s">
        <v>77</v>
      </c>
      <c r="Q292" s="37" t="s">
        <v>954</v>
      </c>
    </row>
    <row r="293" spans="1:17" ht="15">
      <c r="A293">
        <v>291</v>
      </c>
      <c r="B293" s="37" t="s">
        <v>906</v>
      </c>
      <c r="C293" s="37" t="s">
        <v>955</v>
      </c>
      <c r="D293" s="37" t="s">
        <v>956</v>
      </c>
      <c r="E293" s="37">
        <v>3</v>
      </c>
      <c r="F293" s="37" t="s">
        <v>77</v>
      </c>
      <c r="G293" s="37" t="s">
        <v>77</v>
      </c>
      <c r="H293" s="37" t="s">
        <v>77</v>
      </c>
      <c r="I293" s="37" t="s">
        <v>77</v>
      </c>
      <c r="J293" s="37" t="s">
        <v>77</v>
      </c>
      <c r="K293" s="37" t="s">
        <v>77</v>
      </c>
      <c r="L293" s="37" t="s">
        <v>77</v>
      </c>
      <c r="M293" s="37" t="s">
        <v>77</v>
      </c>
      <c r="N293" s="37" t="s">
        <v>77</v>
      </c>
      <c r="O293" s="37" t="s">
        <v>77</v>
      </c>
      <c r="P293" s="37" t="s">
        <v>77</v>
      </c>
      <c r="Q293" s="37" t="s">
        <v>957</v>
      </c>
    </row>
    <row r="294" spans="1:17" ht="15">
      <c r="A294">
        <v>292</v>
      </c>
      <c r="B294" s="37" t="s">
        <v>906</v>
      </c>
      <c r="C294" s="37" t="s">
        <v>958</v>
      </c>
      <c r="D294" s="37" t="s">
        <v>959</v>
      </c>
      <c r="E294" s="37">
        <v>3</v>
      </c>
      <c r="F294" s="37" t="s">
        <v>77</v>
      </c>
      <c r="G294" s="37" t="s">
        <v>77</v>
      </c>
      <c r="H294" s="37" t="s">
        <v>77</v>
      </c>
      <c r="I294" s="37" t="s">
        <v>77</v>
      </c>
      <c r="J294" s="37" t="s">
        <v>77</v>
      </c>
      <c r="K294" s="37" t="s">
        <v>77</v>
      </c>
      <c r="L294" s="37" t="s">
        <v>77</v>
      </c>
      <c r="M294" s="37" t="s">
        <v>77</v>
      </c>
      <c r="N294" s="37" t="s">
        <v>77</v>
      </c>
      <c r="O294" s="37" t="s">
        <v>77</v>
      </c>
      <c r="P294" s="37" t="s">
        <v>77</v>
      </c>
      <c r="Q294" s="37" t="s">
        <v>960</v>
      </c>
    </row>
    <row r="295" spans="1:17" ht="15">
      <c r="A295">
        <v>293</v>
      </c>
      <c r="B295" s="37" t="s">
        <v>906</v>
      </c>
      <c r="C295" s="37" t="s">
        <v>961</v>
      </c>
      <c r="D295" s="37" t="s">
        <v>962</v>
      </c>
      <c r="E295" s="37">
        <v>3</v>
      </c>
      <c r="F295" s="37" t="s">
        <v>77</v>
      </c>
      <c r="G295" s="37" t="s">
        <v>77</v>
      </c>
      <c r="H295" s="37" t="s">
        <v>77</v>
      </c>
      <c r="I295" s="37" t="s">
        <v>77</v>
      </c>
      <c r="J295" s="37" t="s">
        <v>77</v>
      </c>
      <c r="K295" s="37" t="s">
        <v>77</v>
      </c>
      <c r="L295" s="37" t="s">
        <v>77</v>
      </c>
      <c r="M295" s="37" t="s">
        <v>77</v>
      </c>
      <c r="N295" s="37" t="s">
        <v>77</v>
      </c>
      <c r="O295" s="37" t="s">
        <v>77</v>
      </c>
      <c r="P295" s="37" t="s">
        <v>77</v>
      </c>
      <c r="Q295" s="37" t="s">
        <v>963</v>
      </c>
    </row>
    <row r="296" spans="1:17" ht="15">
      <c r="A296">
        <v>294</v>
      </c>
      <c r="B296" s="37" t="s">
        <v>906</v>
      </c>
      <c r="C296" s="37" t="s">
        <v>964</v>
      </c>
      <c r="D296" s="37" t="s">
        <v>965</v>
      </c>
      <c r="E296" s="37">
        <v>3</v>
      </c>
      <c r="F296" s="37" t="s">
        <v>77</v>
      </c>
      <c r="G296" s="37" t="s">
        <v>77</v>
      </c>
      <c r="H296" s="37" t="s">
        <v>77</v>
      </c>
      <c r="I296" s="37" t="s">
        <v>77</v>
      </c>
      <c r="J296" s="37" t="s">
        <v>77</v>
      </c>
      <c r="K296" s="37" t="s">
        <v>77</v>
      </c>
      <c r="L296" s="37" t="s">
        <v>77</v>
      </c>
      <c r="M296" s="37" t="s">
        <v>77</v>
      </c>
      <c r="N296" s="37" t="s">
        <v>77</v>
      </c>
      <c r="O296" s="37" t="s">
        <v>78</v>
      </c>
      <c r="P296" s="37" t="s">
        <v>77</v>
      </c>
      <c r="Q296" s="37" t="s">
        <v>966</v>
      </c>
    </row>
    <row r="297" spans="1:17" ht="15">
      <c r="A297">
        <v>295</v>
      </c>
      <c r="B297" s="37" t="s">
        <v>906</v>
      </c>
      <c r="C297" s="37" t="s">
        <v>967</v>
      </c>
      <c r="D297" s="37" t="s">
        <v>968</v>
      </c>
      <c r="E297" s="37">
        <v>3</v>
      </c>
      <c r="F297" s="37" t="s">
        <v>77</v>
      </c>
      <c r="G297" s="37" t="s">
        <v>77</v>
      </c>
      <c r="H297" s="37" t="s">
        <v>77</v>
      </c>
      <c r="I297" s="37" t="s">
        <v>77</v>
      </c>
      <c r="J297" s="37" t="s">
        <v>77</v>
      </c>
      <c r="K297" s="37" t="s">
        <v>77</v>
      </c>
      <c r="L297" s="37" t="s">
        <v>77</v>
      </c>
      <c r="M297" s="37" t="s">
        <v>77</v>
      </c>
      <c r="N297" s="37" t="s">
        <v>78</v>
      </c>
      <c r="O297" s="37" t="s">
        <v>82</v>
      </c>
      <c r="P297" s="37" t="s">
        <v>77</v>
      </c>
      <c r="Q297" s="37" t="s">
        <v>969</v>
      </c>
    </row>
    <row r="298" spans="1:17" ht="15">
      <c r="A298">
        <v>296</v>
      </c>
      <c r="B298" s="37" t="s">
        <v>906</v>
      </c>
      <c r="C298" s="37" t="s">
        <v>970</v>
      </c>
      <c r="D298" s="37" t="s">
        <v>971</v>
      </c>
      <c r="E298" s="37">
        <v>3</v>
      </c>
      <c r="F298" s="37" t="s">
        <v>77</v>
      </c>
      <c r="G298" s="37" t="s">
        <v>77</v>
      </c>
      <c r="H298" s="37" t="s">
        <v>77</v>
      </c>
      <c r="I298" s="37" t="s">
        <v>77</v>
      </c>
      <c r="J298" s="37" t="s">
        <v>77</v>
      </c>
      <c r="K298" s="37" t="s">
        <v>77</v>
      </c>
      <c r="L298" s="37" t="s">
        <v>77</v>
      </c>
      <c r="M298" s="37" t="s">
        <v>77</v>
      </c>
      <c r="N298" s="37" t="s">
        <v>77</v>
      </c>
      <c r="O298" s="37" t="s">
        <v>77</v>
      </c>
      <c r="P298" s="37" t="s">
        <v>77</v>
      </c>
      <c r="Q298" s="37" t="s">
        <v>972</v>
      </c>
    </row>
    <row r="299" spans="1:17" ht="15">
      <c r="A299">
        <v>297</v>
      </c>
      <c r="B299" s="37" t="s">
        <v>906</v>
      </c>
      <c r="C299" s="37" t="s">
        <v>973</v>
      </c>
      <c r="D299" s="37" t="s">
        <v>974</v>
      </c>
      <c r="E299" s="37">
        <v>3</v>
      </c>
      <c r="F299" s="37" t="s">
        <v>77</v>
      </c>
      <c r="G299" s="37" t="s">
        <v>77</v>
      </c>
      <c r="H299" s="37" t="s">
        <v>77</v>
      </c>
      <c r="I299" s="37" t="s">
        <v>77</v>
      </c>
      <c r="J299" s="37" t="s">
        <v>77</v>
      </c>
      <c r="K299" s="37" t="s">
        <v>77</v>
      </c>
      <c r="L299" s="37" t="s">
        <v>77</v>
      </c>
      <c r="M299" s="37" t="s">
        <v>77</v>
      </c>
      <c r="N299" s="37" t="s">
        <v>77</v>
      </c>
      <c r="O299" s="37" t="s">
        <v>77</v>
      </c>
      <c r="P299" s="37" t="s">
        <v>77</v>
      </c>
      <c r="Q299" s="37" t="s">
        <v>975</v>
      </c>
    </row>
    <row r="300" spans="1:17" ht="15">
      <c r="A300">
        <v>298</v>
      </c>
      <c r="B300" s="37" t="s">
        <v>906</v>
      </c>
      <c r="C300" s="37" t="s">
        <v>976</v>
      </c>
      <c r="D300" s="37" t="s">
        <v>977</v>
      </c>
      <c r="E300" s="37">
        <v>3</v>
      </c>
      <c r="F300" s="37" t="s">
        <v>77</v>
      </c>
      <c r="G300" s="37" t="s">
        <v>77</v>
      </c>
      <c r="H300" s="37" t="s">
        <v>77</v>
      </c>
      <c r="I300" s="37" t="s">
        <v>77</v>
      </c>
      <c r="J300" s="37" t="s">
        <v>77</v>
      </c>
      <c r="K300" s="37" t="s">
        <v>77</v>
      </c>
      <c r="L300" s="37" t="s">
        <v>77</v>
      </c>
      <c r="M300" s="37" t="s">
        <v>77</v>
      </c>
      <c r="N300" s="37" t="s">
        <v>77</v>
      </c>
      <c r="O300" s="37" t="s">
        <v>77</v>
      </c>
      <c r="P300" s="37" t="s">
        <v>77</v>
      </c>
      <c r="Q300" s="37" t="s">
        <v>978</v>
      </c>
    </row>
    <row r="301" spans="1:17" ht="15">
      <c r="A301">
        <v>299</v>
      </c>
      <c r="B301" s="37" t="s">
        <v>906</v>
      </c>
      <c r="C301" s="37" t="s">
        <v>979</v>
      </c>
      <c r="D301" s="37" t="s">
        <v>980</v>
      </c>
      <c r="E301" s="37">
        <v>3</v>
      </c>
      <c r="F301" s="37" t="s">
        <v>77</v>
      </c>
      <c r="G301" s="37" t="s">
        <v>77</v>
      </c>
      <c r="H301" s="37" t="s">
        <v>77</v>
      </c>
      <c r="I301" s="37" t="s">
        <v>77</v>
      </c>
      <c r="J301" s="37" t="s">
        <v>77</v>
      </c>
      <c r="K301" s="37" t="s">
        <v>77</v>
      </c>
      <c r="L301" s="37" t="s">
        <v>77</v>
      </c>
      <c r="M301" s="37" t="s">
        <v>77</v>
      </c>
      <c r="N301" s="37" t="s">
        <v>77</v>
      </c>
      <c r="O301" s="37" t="s">
        <v>77</v>
      </c>
      <c r="P301" s="37" t="s">
        <v>77</v>
      </c>
      <c r="Q301" s="37" t="s">
        <v>981</v>
      </c>
    </row>
    <row r="302" spans="1:17" ht="15">
      <c r="A302">
        <v>300</v>
      </c>
      <c r="B302" s="37" t="s">
        <v>906</v>
      </c>
      <c r="C302" s="37" t="s">
        <v>982</v>
      </c>
      <c r="D302" s="37" t="s">
        <v>983</v>
      </c>
      <c r="E302" s="37">
        <v>3</v>
      </c>
      <c r="F302" s="37" t="s">
        <v>77</v>
      </c>
      <c r="G302" s="37" t="s">
        <v>77</v>
      </c>
      <c r="H302" s="37" t="s">
        <v>77</v>
      </c>
      <c r="I302" s="37" t="s">
        <v>77</v>
      </c>
      <c r="J302" s="37" t="s">
        <v>77</v>
      </c>
      <c r="K302" s="37" t="s">
        <v>77</v>
      </c>
      <c r="L302" s="37" t="s">
        <v>77</v>
      </c>
      <c r="M302" s="37" t="s">
        <v>77</v>
      </c>
      <c r="N302" s="37" t="s">
        <v>78</v>
      </c>
      <c r="O302" s="37" t="s">
        <v>77</v>
      </c>
      <c r="P302" s="37" t="s">
        <v>77</v>
      </c>
      <c r="Q302" s="37" t="s">
        <v>984</v>
      </c>
    </row>
    <row r="303" spans="1:17" ht="15">
      <c r="A303">
        <v>301</v>
      </c>
      <c r="B303" s="37" t="s">
        <v>906</v>
      </c>
      <c r="C303" s="37" t="s">
        <v>985</v>
      </c>
      <c r="D303" s="37" t="s">
        <v>986</v>
      </c>
      <c r="E303" s="37">
        <v>3</v>
      </c>
      <c r="F303" s="37" t="s">
        <v>77</v>
      </c>
      <c r="G303" s="37" t="s">
        <v>77</v>
      </c>
      <c r="H303" s="37" t="s">
        <v>77</v>
      </c>
      <c r="I303" s="37" t="s">
        <v>77</v>
      </c>
      <c r="J303" s="37" t="s">
        <v>77</v>
      </c>
      <c r="K303" s="37" t="s">
        <v>77</v>
      </c>
      <c r="L303" s="37" t="s">
        <v>77</v>
      </c>
      <c r="M303" s="37" t="s">
        <v>77</v>
      </c>
      <c r="N303" s="37" t="s">
        <v>77</v>
      </c>
      <c r="O303" s="37" t="s">
        <v>77</v>
      </c>
      <c r="P303" s="37" t="s">
        <v>77</v>
      </c>
      <c r="Q303" s="37" t="s">
        <v>987</v>
      </c>
    </row>
    <row r="304" spans="1:17" ht="15">
      <c r="A304">
        <v>302</v>
      </c>
      <c r="B304" s="37" t="s">
        <v>906</v>
      </c>
      <c r="C304" s="37" t="s">
        <v>988</v>
      </c>
      <c r="D304" s="37" t="s">
        <v>989</v>
      </c>
      <c r="E304" s="37">
        <v>3</v>
      </c>
      <c r="F304" s="37" t="s">
        <v>77</v>
      </c>
      <c r="G304" s="37" t="s">
        <v>77</v>
      </c>
      <c r="H304" s="37" t="s">
        <v>77</v>
      </c>
      <c r="I304" s="37" t="s">
        <v>77</v>
      </c>
      <c r="J304" s="37" t="s">
        <v>77</v>
      </c>
      <c r="K304" s="37" t="s">
        <v>77</v>
      </c>
      <c r="L304" s="37" t="s">
        <v>77</v>
      </c>
      <c r="M304" s="37" t="s">
        <v>77</v>
      </c>
      <c r="N304" s="37" t="s">
        <v>77</v>
      </c>
      <c r="O304" s="37" t="s">
        <v>77</v>
      </c>
      <c r="P304" s="37" t="s">
        <v>77</v>
      </c>
      <c r="Q304" s="37" t="s">
        <v>990</v>
      </c>
    </row>
    <row r="305" spans="1:17" ht="15">
      <c r="A305">
        <v>303</v>
      </c>
      <c r="B305" s="37" t="s">
        <v>906</v>
      </c>
      <c r="C305" s="37" t="s">
        <v>991</v>
      </c>
      <c r="D305" s="37" t="s">
        <v>992</v>
      </c>
      <c r="E305" s="37">
        <v>3</v>
      </c>
      <c r="F305" s="37" t="s">
        <v>77</v>
      </c>
      <c r="G305" s="37" t="s">
        <v>77</v>
      </c>
      <c r="H305" s="37" t="s">
        <v>77</v>
      </c>
      <c r="I305" s="37" t="s">
        <v>77</v>
      </c>
      <c r="J305" s="37" t="s">
        <v>77</v>
      </c>
      <c r="K305" s="37" t="s">
        <v>77</v>
      </c>
      <c r="L305" s="37" t="s">
        <v>77</v>
      </c>
      <c r="M305" s="37" t="s">
        <v>77</v>
      </c>
      <c r="N305" s="37" t="s">
        <v>77</v>
      </c>
      <c r="O305" s="37" t="s">
        <v>77</v>
      </c>
      <c r="P305" s="37" t="s">
        <v>77</v>
      </c>
      <c r="Q305" s="37" t="s">
        <v>993</v>
      </c>
    </row>
    <row r="306" spans="1:17" ht="15">
      <c r="A306">
        <v>304</v>
      </c>
      <c r="B306" s="37" t="s">
        <v>906</v>
      </c>
      <c r="C306" s="37" t="s">
        <v>994</v>
      </c>
      <c r="D306" s="37" t="s">
        <v>995</v>
      </c>
      <c r="E306" s="37">
        <v>3</v>
      </c>
      <c r="F306" s="37" t="s">
        <v>77</v>
      </c>
      <c r="G306" s="37" t="s">
        <v>77</v>
      </c>
      <c r="H306" s="37" t="s">
        <v>77</v>
      </c>
      <c r="I306" s="37" t="s">
        <v>77</v>
      </c>
      <c r="J306" s="37" t="s">
        <v>77</v>
      </c>
      <c r="K306" s="37" t="s">
        <v>77</v>
      </c>
      <c r="L306" s="37" t="s">
        <v>77</v>
      </c>
      <c r="M306" s="37" t="s">
        <v>77</v>
      </c>
      <c r="N306" s="37" t="s">
        <v>77</v>
      </c>
      <c r="O306" s="37" t="s">
        <v>77</v>
      </c>
      <c r="P306" s="37" t="s">
        <v>77</v>
      </c>
      <c r="Q306" s="37" t="s">
        <v>996</v>
      </c>
    </row>
    <row r="307" spans="1:17" ht="15">
      <c r="A307">
        <v>305</v>
      </c>
      <c r="B307" s="37" t="s">
        <v>906</v>
      </c>
      <c r="C307" s="37" t="s">
        <v>997</v>
      </c>
      <c r="D307" s="37" t="s">
        <v>998</v>
      </c>
      <c r="E307" s="37">
        <v>3</v>
      </c>
      <c r="F307" s="37" t="s">
        <v>77</v>
      </c>
      <c r="G307" s="37" t="s">
        <v>77</v>
      </c>
      <c r="H307" s="37" t="s">
        <v>77</v>
      </c>
      <c r="I307" s="37" t="s">
        <v>77</v>
      </c>
      <c r="J307" s="37" t="s">
        <v>77</v>
      </c>
      <c r="K307" s="37" t="s">
        <v>77</v>
      </c>
      <c r="L307" s="37" t="s">
        <v>77</v>
      </c>
      <c r="M307" s="37" t="s">
        <v>77</v>
      </c>
      <c r="N307" s="37" t="s">
        <v>77</v>
      </c>
      <c r="O307" s="37" t="s">
        <v>77</v>
      </c>
      <c r="P307" s="37" t="s">
        <v>77</v>
      </c>
      <c r="Q307" s="37" t="s">
        <v>999</v>
      </c>
    </row>
    <row r="308" spans="1:17" ht="15">
      <c r="A308">
        <v>306</v>
      </c>
      <c r="B308" s="37" t="s">
        <v>906</v>
      </c>
      <c r="C308" s="37" t="s">
        <v>1000</v>
      </c>
      <c r="D308" s="37" t="s">
        <v>1001</v>
      </c>
      <c r="E308" s="37">
        <v>3</v>
      </c>
      <c r="F308" s="37" t="s">
        <v>77</v>
      </c>
      <c r="G308" s="37" t="s">
        <v>77</v>
      </c>
      <c r="H308" s="37" t="s">
        <v>77</v>
      </c>
      <c r="I308" s="37" t="s">
        <v>77</v>
      </c>
      <c r="J308" s="37" t="s">
        <v>77</v>
      </c>
      <c r="K308" s="37" t="s">
        <v>77</v>
      </c>
      <c r="L308" s="37" t="s">
        <v>77</v>
      </c>
      <c r="M308" s="37" t="s">
        <v>77</v>
      </c>
      <c r="N308" s="37" t="s">
        <v>77</v>
      </c>
      <c r="O308" s="37" t="s">
        <v>77</v>
      </c>
      <c r="P308" s="37" t="s">
        <v>77</v>
      </c>
      <c r="Q308" s="37" t="s">
        <v>1002</v>
      </c>
    </row>
    <row r="309" spans="1:17" ht="15">
      <c r="A309">
        <v>307</v>
      </c>
      <c r="B309" s="37" t="s">
        <v>1003</v>
      </c>
      <c r="C309" s="37" t="s">
        <v>1004</v>
      </c>
      <c r="D309" s="37" t="s">
        <v>1005</v>
      </c>
      <c r="E309" s="37">
        <v>3</v>
      </c>
      <c r="F309" s="37" t="s">
        <v>77</v>
      </c>
      <c r="G309" s="37" t="s">
        <v>77</v>
      </c>
      <c r="H309" s="37" t="s">
        <v>77</v>
      </c>
      <c r="I309" s="37" t="s">
        <v>77</v>
      </c>
      <c r="J309" s="37" t="s">
        <v>77</v>
      </c>
      <c r="K309" s="37" t="s">
        <v>77</v>
      </c>
      <c r="L309" s="37" t="s">
        <v>77</v>
      </c>
      <c r="M309" s="37" t="s">
        <v>77</v>
      </c>
      <c r="N309" s="37" t="s">
        <v>77</v>
      </c>
      <c r="O309" s="37" t="s">
        <v>77</v>
      </c>
      <c r="P309" s="37" t="s">
        <v>77</v>
      </c>
      <c r="Q309" s="37" t="s">
        <v>1006</v>
      </c>
    </row>
    <row r="310" spans="1:17" ht="15">
      <c r="A310">
        <v>308</v>
      </c>
      <c r="B310" s="37" t="s">
        <v>1003</v>
      </c>
      <c r="C310" s="37" t="s">
        <v>1007</v>
      </c>
      <c r="D310" s="37" t="s">
        <v>1008</v>
      </c>
      <c r="E310" s="37">
        <v>3</v>
      </c>
      <c r="F310" s="37" t="s">
        <v>77</v>
      </c>
      <c r="G310" s="37" t="s">
        <v>77</v>
      </c>
      <c r="H310" s="37" t="s">
        <v>77</v>
      </c>
      <c r="I310" s="37" t="s">
        <v>77</v>
      </c>
      <c r="J310" s="37" t="s">
        <v>77</v>
      </c>
      <c r="K310" s="37" t="s">
        <v>77</v>
      </c>
      <c r="L310" s="37" t="s">
        <v>77</v>
      </c>
      <c r="M310" s="37" t="s">
        <v>77</v>
      </c>
      <c r="N310" s="37" t="s">
        <v>77</v>
      </c>
      <c r="O310" s="37" t="s">
        <v>77</v>
      </c>
      <c r="P310" s="37" t="s">
        <v>77</v>
      </c>
      <c r="Q310" s="37" t="s">
        <v>1009</v>
      </c>
    </row>
    <row r="311" spans="1:17" ht="15">
      <c r="A311">
        <v>309</v>
      </c>
      <c r="B311" s="37" t="s">
        <v>1003</v>
      </c>
      <c r="C311" s="37" t="s">
        <v>1010</v>
      </c>
      <c r="D311" s="37" t="s">
        <v>1011</v>
      </c>
      <c r="E311" s="37">
        <v>3</v>
      </c>
      <c r="F311" s="37" t="s">
        <v>77</v>
      </c>
      <c r="G311" s="37" t="s">
        <v>77</v>
      </c>
      <c r="H311" s="37" t="s">
        <v>77</v>
      </c>
      <c r="I311" s="37" t="s">
        <v>77</v>
      </c>
      <c r="J311" s="37" t="s">
        <v>77</v>
      </c>
      <c r="K311" s="37" t="s">
        <v>77</v>
      </c>
      <c r="L311" s="37" t="s">
        <v>77</v>
      </c>
      <c r="M311" s="37" t="s">
        <v>77</v>
      </c>
      <c r="N311" s="37" t="s">
        <v>77</v>
      </c>
      <c r="O311" s="37" t="s">
        <v>77</v>
      </c>
      <c r="P311" s="37" t="s">
        <v>77</v>
      </c>
      <c r="Q311" s="37" t="s">
        <v>1012</v>
      </c>
    </row>
    <row r="312" spans="1:17" ht="15">
      <c r="A312">
        <v>310</v>
      </c>
      <c r="B312" s="37" t="s">
        <v>1003</v>
      </c>
      <c r="C312" s="37" t="s">
        <v>1013</v>
      </c>
      <c r="D312" s="37" t="s">
        <v>1014</v>
      </c>
      <c r="E312" s="37">
        <v>3</v>
      </c>
      <c r="F312" s="37" t="s">
        <v>77</v>
      </c>
      <c r="G312" s="37" t="s">
        <v>77</v>
      </c>
      <c r="H312" s="37" t="s">
        <v>77</v>
      </c>
      <c r="I312" s="37" t="s">
        <v>77</v>
      </c>
      <c r="J312" s="37" t="s">
        <v>77</v>
      </c>
      <c r="K312" s="37" t="s">
        <v>77</v>
      </c>
      <c r="L312" s="37" t="s">
        <v>77</v>
      </c>
      <c r="M312" s="37" t="s">
        <v>77</v>
      </c>
      <c r="N312" s="37" t="s">
        <v>77</v>
      </c>
      <c r="O312" s="37" t="s">
        <v>77</v>
      </c>
      <c r="P312" s="37" t="s">
        <v>77</v>
      </c>
      <c r="Q312" s="37" t="s">
        <v>1015</v>
      </c>
    </row>
    <row r="313" spans="1:17" ht="15">
      <c r="A313">
        <v>311</v>
      </c>
      <c r="B313" s="37" t="s">
        <v>1003</v>
      </c>
      <c r="C313" s="37" t="s">
        <v>1016</v>
      </c>
      <c r="D313" s="37" t="s">
        <v>1017</v>
      </c>
      <c r="E313" s="37">
        <v>3</v>
      </c>
      <c r="F313" s="37" t="s">
        <v>77</v>
      </c>
      <c r="G313" s="37" t="s">
        <v>77</v>
      </c>
      <c r="H313" s="37" t="s">
        <v>77</v>
      </c>
      <c r="I313" s="37" t="s">
        <v>77</v>
      </c>
      <c r="J313" s="37" t="s">
        <v>77</v>
      </c>
      <c r="K313" s="37" t="s">
        <v>77</v>
      </c>
      <c r="L313" s="37" t="s">
        <v>77</v>
      </c>
      <c r="M313" s="37" t="s">
        <v>77</v>
      </c>
      <c r="N313" s="37" t="s">
        <v>77</v>
      </c>
      <c r="O313" s="37" t="s">
        <v>77</v>
      </c>
      <c r="P313" s="37" t="s">
        <v>77</v>
      </c>
      <c r="Q313" s="37" t="s">
        <v>1018</v>
      </c>
    </row>
    <row r="314" spans="1:17" ht="15">
      <c r="A314">
        <v>312</v>
      </c>
      <c r="B314" s="37" t="s">
        <v>1003</v>
      </c>
      <c r="C314" s="37" t="s">
        <v>1019</v>
      </c>
      <c r="D314" s="37" t="s">
        <v>1020</v>
      </c>
      <c r="E314" s="37">
        <v>3</v>
      </c>
      <c r="F314" s="37" t="s">
        <v>77</v>
      </c>
      <c r="G314" s="37" t="s">
        <v>77</v>
      </c>
      <c r="H314" s="37" t="s">
        <v>77</v>
      </c>
      <c r="I314" s="37" t="s">
        <v>77</v>
      </c>
      <c r="J314" s="37" t="s">
        <v>77</v>
      </c>
      <c r="K314" s="37" t="s">
        <v>77</v>
      </c>
      <c r="L314" s="37" t="s">
        <v>77</v>
      </c>
      <c r="M314" s="37" t="s">
        <v>77</v>
      </c>
      <c r="N314" s="37" t="s">
        <v>77</v>
      </c>
      <c r="O314" s="37" t="s">
        <v>77</v>
      </c>
      <c r="P314" s="37" t="s">
        <v>77</v>
      </c>
      <c r="Q314" s="37" t="s">
        <v>1021</v>
      </c>
    </row>
    <row r="315" spans="1:17" ht="15">
      <c r="A315">
        <v>313</v>
      </c>
      <c r="B315" s="37" t="s">
        <v>1003</v>
      </c>
      <c r="C315" s="37" t="s">
        <v>1022</v>
      </c>
      <c r="D315" s="37" t="s">
        <v>1023</v>
      </c>
      <c r="E315" s="37">
        <v>3</v>
      </c>
      <c r="F315" s="37" t="s">
        <v>77</v>
      </c>
      <c r="G315" s="37" t="s">
        <v>77</v>
      </c>
      <c r="H315" s="37" t="s">
        <v>77</v>
      </c>
      <c r="I315" s="37" t="s">
        <v>77</v>
      </c>
      <c r="J315" s="37" t="s">
        <v>77</v>
      </c>
      <c r="K315" s="37" t="s">
        <v>77</v>
      </c>
      <c r="L315" s="37" t="s">
        <v>77</v>
      </c>
      <c r="M315" s="37" t="s">
        <v>77</v>
      </c>
      <c r="N315" s="37" t="s">
        <v>77</v>
      </c>
      <c r="O315" s="37" t="s">
        <v>77</v>
      </c>
      <c r="P315" s="37" t="s">
        <v>77</v>
      </c>
      <c r="Q315" s="37" t="s">
        <v>1024</v>
      </c>
    </row>
    <row r="316" spans="1:17" ht="15">
      <c r="A316">
        <v>314</v>
      </c>
      <c r="B316" s="37" t="s">
        <v>1003</v>
      </c>
      <c r="C316" s="37" t="s">
        <v>1025</v>
      </c>
      <c r="D316" s="37" t="s">
        <v>1026</v>
      </c>
      <c r="E316" s="37">
        <v>3</v>
      </c>
      <c r="F316" s="37" t="s">
        <v>77</v>
      </c>
      <c r="G316" s="37" t="s">
        <v>77</v>
      </c>
      <c r="H316" s="37" t="s">
        <v>77</v>
      </c>
      <c r="I316" s="37" t="s">
        <v>77</v>
      </c>
      <c r="J316" s="37" t="s">
        <v>77</v>
      </c>
      <c r="K316" s="37" t="s">
        <v>77</v>
      </c>
      <c r="L316" s="37" t="s">
        <v>77</v>
      </c>
      <c r="M316" s="37" t="s">
        <v>77</v>
      </c>
      <c r="N316" s="37" t="s">
        <v>77</v>
      </c>
      <c r="O316" s="37" t="s">
        <v>77</v>
      </c>
      <c r="P316" s="37" t="s">
        <v>77</v>
      </c>
      <c r="Q316" s="37" t="s">
        <v>1027</v>
      </c>
    </row>
    <row r="317" spans="1:17" ht="15">
      <c r="A317">
        <v>315</v>
      </c>
      <c r="B317" s="37" t="s">
        <v>1003</v>
      </c>
      <c r="C317" s="37" t="s">
        <v>1028</v>
      </c>
      <c r="D317" s="37" t="s">
        <v>1029</v>
      </c>
      <c r="E317" s="37">
        <v>3</v>
      </c>
      <c r="F317" s="37" t="s">
        <v>77</v>
      </c>
      <c r="G317" s="37" t="s">
        <v>77</v>
      </c>
      <c r="H317" s="37" t="s">
        <v>77</v>
      </c>
      <c r="I317" s="37" t="s">
        <v>77</v>
      </c>
      <c r="J317" s="37" t="s">
        <v>77</v>
      </c>
      <c r="K317" s="37" t="s">
        <v>77</v>
      </c>
      <c r="L317" s="37" t="s">
        <v>77</v>
      </c>
      <c r="M317" s="37" t="s">
        <v>77</v>
      </c>
      <c r="N317" s="37" t="s">
        <v>77</v>
      </c>
      <c r="O317" s="37" t="s">
        <v>77</v>
      </c>
      <c r="P317" s="37" t="s">
        <v>77</v>
      </c>
      <c r="Q317" s="37" t="s">
        <v>1030</v>
      </c>
    </row>
    <row r="318" spans="1:17" ht="15">
      <c r="A318">
        <v>316</v>
      </c>
      <c r="B318" s="37" t="s">
        <v>1003</v>
      </c>
      <c r="C318" s="37" t="s">
        <v>1031</v>
      </c>
      <c r="D318" s="37" t="s">
        <v>1032</v>
      </c>
      <c r="E318" s="37">
        <v>3</v>
      </c>
      <c r="F318" s="37" t="s">
        <v>77</v>
      </c>
      <c r="G318" s="37" t="s">
        <v>77</v>
      </c>
      <c r="H318" s="37" t="s">
        <v>77</v>
      </c>
      <c r="I318" s="37" t="s">
        <v>77</v>
      </c>
      <c r="J318" s="37" t="s">
        <v>77</v>
      </c>
      <c r="K318" s="37" t="s">
        <v>77</v>
      </c>
      <c r="L318" s="37" t="s">
        <v>77</v>
      </c>
      <c r="M318" s="37" t="s">
        <v>77</v>
      </c>
      <c r="N318" s="37" t="s">
        <v>77</v>
      </c>
      <c r="O318" s="37" t="s">
        <v>77</v>
      </c>
      <c r="P318" s="37" t="s">
        <v>78</v>
      </c>
      <c r="Q318" s="37" t="s">
        <v>1033</v>
      </c>
    </row>
    <row r="319" spans="1:17" ht="15">
      <c r="A319">
        <v>317</v>
      </c>
      <c r="B319" s="37" t="s">
        <v>1003</v>
      </c>
      <c r="C319" s="37" t="s">
        <v>1034</v>
      </c>
      <c r="D319" s="37" t="s">
        <v>1035</v>
      </c>
      <c r="E319" s="37">
        <v>3</v>
      </c>
      <c r="F319" s="37" t="s">
        <v>77</v>
      </c>
      <c r="G319" s="37" t="s">
        <v>77</v>
      </c>
      <c r="H319" s="37" t="s">
        <v>77</v>
      </c>
      <c r="I319" s="37" t="s">
        <v>77</v>
      </c>
      <c r="J319" s="37" t="s">
        <v>77</v>
      </c>
      <c r="K319" s="37" t="s">
        <v>77</v>
      </c>
      <c r="L319" s="37" t="s">
        <v>77</v>
      </c>
      <c r="M319" s="37" t="s">
        <v>77</v>
      </c>
      <c r="N319" s="37" t="s">
        <v>77</v>
      </c>
      <c r="O319" s="37" t="s">
        <v>77</v>
      </c>
      <c r="P319" s="37" t="s">
        <v>77</v>
      </c>
      <c r="Q319" s="37" t="s">
        <v>1036</v>
      </c>
    </row>
    <row r="320" spans="1:17" ht="15">
      <c r="A320">
        <v>318</v>
      </c>
      <c r="B320" s="37" t="s">
        <v>1003</v>
      </c>
      <c r="C320" s="37" t="s">
        <v>1037</v>
      </c>
      <c r="D320" s="37" t="s">
        <v>1038</v>
      </c>
      <c r="E320" s="37">
        <v>3</v>
      </c>
      <c r="F320" s="37" t="s">
        <v>77</v>
      </c>
      <c r="G320" s="37" t="s">
        <v>77</v>
      </c>
      <c r="H320" s="37" t="s">
        <v>77</v>
      </c>
      <c r="I320" s="37" t="s">
        <v>77</v>
      </c>
      <c r="J320" s="37" t="s">
        <v>77</v>
      </c>
      <c r="K320" s="37" t="s">
        <v>77</v>
      </c>
      <c r="L320" s="37" t="s">
        <v>77</v>
      </c>
      <c r="M320" s="37" t="s">
        <v>77</v>
      </c>
      <c r="N320" s="37" t="s">
        <v>77</v>
      </c>
      <c r="O320" s="37" t="s">
        <v>77</v>
      </c>
      <c r="P320" s="37" t="s">
        <v>77</v>
      </c>
      <c r="Q320" s="37" t="s">
        <v>1039</v>
      </c>
    </row>
    <row r="321" spans="1:17" ht="15">
      <c r="A321">
        <v>319</v>
      </c>
      <c r="B321" s="37" t="s">
        <v>1003</v>
      </c>
      <c r="C321" s="37" t="s">
        <v>1040</v>
      </c>
      <c r="D321" s="37" t="s">
        <v>1041</v>
      </c>
      <c r="E321" s="37">
        <v>3</v>
      </c>
      <c r="F321" s="37" t="s">
        <v>77</v>
      </c>
      <c r="G321" s="37" t="s">
        <v>77</v>
      </c>
      <c r="H321" s="37" t="s">
        <v>77</v>
      </c>
      <c r="I321" s="37" t="s">
        <v>77</v>
      </c>
      <c r="J321" s="37" t="s">
        <v>77</v>
      </c>
      <c r="K321" s="37" t="s">
        <v>77</v>
      </c>
      <c r="L321" s="37" t="s">
        <v>77</v>
      </c>
      <c r="M321" s="37" t="s">
        <v>77</v>
      </c>
      <c r="N321" s="37" t="s">
        <v>77</v>
      </c>
      <c r="O321" s="37" t="s">
        <v>77</v>
      </c>
      <c r="P321" s="37" t="s">
        <v>77</v>
      </c>
      <c r="Q321" s="37" t="s">
        <v>1042</v>
      </c>
    </row>
    <row r="322" spans="1:17" ht="15">
      <c r="A322">
        <v>320</v>
      </c>
      <c r="B322" s="37" t="s">
        <v>1003</v>
      </c>
      <c r="C322" s="37" t="s">
        <v>1043</v>
      </c>
      <c r="D322" s="37" t="s">
        <v>1044</v>
      </c>
      <c r="E322" s="37">
        <v>3</v>
      </c>
      <c r="F322" s="37" t="s">
        <v>77</v>
      </c>
      <c r="G322" s="37" t="s">
        <v>77</v>
      </c>
      <c r="H322" s="37" t="s">
        <v>77</v>
      </c>
      <c r="I322" s="37" t="s">
        <v>77</v>
      </c>
      <c r="J322" s="37" t="s">
        <v>77</v>
      </c>
      <c r="K322" s="37" t="s">
        <v>77</v>
      </c>
      <c r="L322" s="37" t="s">
        <v>77</v>
      </c>
      <c r="M322" s="37" t="s">
        <v>77</v>
      </c>
      <c r="N322" s="37" t="s">
        <v>77</v>
      </c>
      <c r="O322" s="37" t="s">
        <v>77</v>
      </c>
      <c r="P322" s="37" t="s">
        <v>77</v>
      </c>
      <c r="Q322" s="37" t="s">
        <v>1045</v>
      </c>
    </row>
    <row r="323" spans="1:17" ht="15">
      <c r="A323">
        <v>321</v>
      </c>
      <c r="B323" s="37" t="s">
        <v>1003</v>
      </c>
      <c r="C323" s="37" t="s">
        <v>1046</v>
      </c>
      <c r="D323" s="37" t="s">
        <v>1047</v>
      </c>
      <c r="E323" s="37">
        <v>3</v>
      </c>
      <c r="F323" s="37" t="s">
        <v>77</v>
      </c>
      <c r="G323" s="37" t="s">
        <v>77</v>
      </c>
      <c r="H323" s="37" t="s">
        <v>77</v>
      </c>
      <c r="I323" s="37" t="s">
        <v>77</v>
      </c>
      <c r="J323" s="37" t="s">
        <v>77</v>
      </c>
      <c r="K323" s="37" t="s">
        <v>77</v>
      </c>
      <c r="L323" s="37" t="s">
        <v>77</v>
      </c>
      <c r="M323" s="37" t="s">
        <v>77</v>
      </c>
      <c r="N323" s="37" t="s">
        <v>77</v>
      </c>
      <c r="O323" s="37" t="s">
        <v>77</v>
      </c>
      <c r="P323" s="37" t="s">
        <v>77</v>
      </c>
      <c r="Q323" s="37" t="s">
        <v>1048</v>
      </c>
    </row>
    <row r="324" spans="1:17" ht="15">
      <c r="A324">
        <v>322</v>
      </c>
      <c r="B324" s="37" t="s">
        <v>1003</v>
      </c>
      <c r="C324" s="37" t="s">
        <v>1049</v>
      </c>
      <c r="D324" s="37" t="s">
        <v>1050</v>
      </c>
      <c r="E324" s="37">
        <v>3</v>
      </c>
      <c r="F324" s="37" t="s">
        <v>77</v>
      </c>
      <c r="G324" s="37" t="s">
        <v>77</v>
      </c>
      <c r="H324" s="37" t="s">
        <v>77</v>
      </c>
      <c r="I324" s="37" t="s">
        <v>77</v>
      </c>
      <c r="J324" s="37" t="s">
        <v>77</v>
      </c>
      <c r="K324" s="37" t="s">
        <v>77</v>
      </c>
      <c r="L324" s="37" t="s">
        <v>77</v>
      </c>
      <c r="M324" s="37" t="s">
        <v>77</v>
      </c>
      <c r="N324" s="37" t="s">
        <v>77</v>
      </c>
      <c r="O324" s="37" t="s">
        <v>77</v>
      </c>
      <c r="P324" s="37" t="s">
        <v>77</v>
      </c>
      <c r="Q324" s="37" t="s">
        <v>1051</v>
      </c>
    </row>
    <row r="325" spans="1:17" ht="15">
      <c r="A325">
        <v>323</v>
      </c>
      <c r="B325" s="37" t="s">
        <v>1003</v>
      </c>
      <c r="C325" s="37" t="s">
        <v>1052</v>
      </c>
      <c r="D325" s="37" t="s">
        <v>1053</v>
      </c>
      <c r="E325" s="37">
        <v>3</v>
      </c>
      <c r="F325" s="37" t="s">
        <v>77</v>
      </c>
      <c r="G325" s="37" t="s">
        <v>77</v>
      </c>
      <c r="H325" s="37" t="s">
        <v>77</v>
      </c>
      <c r="I325" s="37" t="s">
        <v>77</v>
      </c>
      <c r="J325" s="37" t="s">
        <v>77</v>
      </c>
      <c r="K325" s="37" t="s">
        <v>77</v>
      </c>
      <c r="L325" s="37" t="s">
        <v>77</v>
      </c>
      <c r="M325" s="37" t="s">
        <v>77</v>
      </c>
      <c r="N325" s="37" t="s">
        <v>77</v>
      </c>
      <c r="O325" s="37" t="s">
        <v>77</v>
      </c>
      <c r="P325" s="37" t="s">
        <v>77</v>
      </c>
      <c r="Q325" s="37" t="s">
        <v>1054</v>
      </c>
    </row>
    <row r="326" spans="1:17" ht="15">
      <c r="A326">
        <v>324</v>
      </c>
      <c r="B326" s="37" t="s">
        <v>1003</v>
      </c>
      <c r="C326" s="37" t="s">
        <v>1055</v>
      </c>
      <c r="D326" s="37" t="s">
        <v>1056</v>
      </c>
      <c r="E326" s="37">
        <v>3</v>
      </c>
      <c r="F326" s="37" t="s">
        <v>77</v>
      </c>
      <c r="G326" s="37" t="s">
        <v>77</v>
      </c>
      <c r="H326" s="37" t="s">
        <v>77</v>
      </c>
      <c r="I326" s="37" t="s">
        <v>77</v>
      </c>
      <c r="J326" s="37" t="s">
        <v>77</v>
      </c>
      <c r="K326" s="37" t="s">
        <v>77</v>
      </c>
      <c r="L326" s="37" t="s">
        <v>77</v>
      </c>
      <c r="M326" s="37" t="s">
        <v>77</v>
      </c>
      <c r="N326" s="37" t="s">
        <v>77</v>
      </c>
      <c r="O326" s="37" t="s">
        <v>77</v>
      </c>
      <c r="P326" s="37" t="s">
        <v>77</v>
      </c>
      <c r="Q326" s="37" t="s">
        <v>1057</v>
      </c>
    </row>
    <row r="327" spans="1:17" ht="15">
      <c r="A327">
        <v>325</v>
      </c>
      <c r="B327" s="37" t="s">
        <v>1003</v>
      </c>
      <c r="C327" s="37" t="s">
        <v>1058</v>
      </c>
      <c r="D327" s="37" t="s">
        <v>1059</v>
      </c>
      <c r="E327" s="37">
        <v>3</v>
      </c>
      <c r="F327" s="37" t="s">
        <v>77</v>
      </c>
      <c r="G327" s="37" t="s">
        <v>77</v>
      </c>
      <c r="H327" s="37" t="s">
        <v>77</v>
      </c>
      <c r="I327" s="37" t="s">
        <v>77</v>
      </c>
      <c r="J327" s="37" t="s">
        <v>77</v>
      </c>
      <c r="K327" s="37" t="s">
        <v>77</v>
      </c>
      <c r="L327" s="37" t="s">
        <v>77</v>
      </c>
      <c r="M327" s="37" t="s">
        <v>77</v>
      </c>
      <c r="N327" s="37" t="s">
        <v>77</v>
      </c>
      <c r="O327" s="37" t="s">
        <v>77</v>
      </c>
      <c r="P327" s="37" t="s">
        <v>77</v>
      </c>
      <c r="Q327" s="37" t="s">
        <v>1060</v>
      </c>
    </row>
    <row r="328" spans="1:17" ht="15">
      <c r="A328">
        <v>326</v>
      </c>
      <c r="B328" s="37" t="s">
        <v>1003</v>
      </c>
      <c r="C328" s="37" t="s">
        <v>1061</v>
      </c>
      <c r="D328" s="37" t="s">
        <v>389</v>
      </c>
      <c r="E328" s="37">
        <v>3</v>
      </c>
      <c r="F328" s="37" t="s">
        <v>77</v>
      </c>
      <c r="G328" s="37" t="s">
        <v>77</v>
      </c>
      <c r="H328" s="37" t="s">
        <v>77</v>
      </c>
      <c r="I328" s="37" t="s">
        <v>77</v>
      </c>
      <c r="J328" s="37" t="s">
        <v>77</v>
      </c>
      <c r="K328" s="37" t="s">
        <v>77</v>
      </c>
      <c r="L328" s="37" t="s">
        <v>77</v>
      </c>
      <c r="M328" s="37" t="s">
        <v>77</v>
      </c>
      <c r="N328" s="37" t="s">
        <v>77</v>
      </c>
      <c r="O328" s="37" t="s">
        <v>77</v>
      </c>
      <c r="P328" s="37" t="s">
        <v>77</v>
      </c>
      <c r="Q328" s="37" t="s">
        <v>1062</v>
      </c>
    </row>
    <row r="329" spans="1:17" ht="15">
      <c r="A329">
        <v>327</v>
      </c>
      <c r="B329" s="37" t="s">
        <v>1003</v>
      </c>
      <c r="C329" s="37" t="s">
        <v>1063</v>
      </c>
      <c r="D329" s="37" t="s">
        <v>1064</v>
      </c>
      <c r="E329" s="37">
        <v>3</v>
      </c>
      <c r="F329" s="37" t="s">
        <v>77</v>
      </c>
      <c r="G329" s="37" t="s">
        <v>77</v>
      </c>
      <c r="H329" s="37" t="s">
        <v>77</v>
      </c>
      <c r="I329" s="37" t="s">
        <v>77</v>
      </c>
      <c r="J329" s="37" t="s">
        <v>77</v>
      </c>
      <c r="K329" s="37" t="s">
        <v>77</v>
      </c>
      <c r="L329" s="37" t="s">
        <v>77</v>
      </c>
      <c r="M329" s="37" t="s">
        <v>77</v>
      </c>
      <c r="N329" s="37" t="s">
        <v>77</v>
      </c>
      <c r="O329" s="37" t="s">
        <v>77</v>
      </c>
      <c r="P329" s="37" t="s">
        <v>77</v>
      </c>
      <c r="Q329" s="37" t="s">
        <v>1065</v>
      </c>
    </row>
    <row r="330" spans="1:17" ht="15">
      <c r="A330">
        <v>328</v>
      </c>
      <c r="B330" s="37" t="s">
        <v>1003</v>
      </c>
      <c r="C330" s="37" t="s">
        <v>1066</v>
      </c>
      <c r="D330" s="37" t="s">
        <v>1067</v>
      </c>
      <c r="E330" s="37">
        <v>3</v>
      </c>
      <c r="F330" s="37" t="s">
        <v>77</v>
      </c>
      <c r="G330" s="37" t="s">
        <v>77</v>
      </c>
      <c r="H330" s="37" t="s">
        <v>77</v>
      </c>
      <c r="I330" s="37" t="s">
        <v>77</v>
      </c>
      <c r="J330" s="37" t="s">
        <v>77</v>
      </c>
      <c r="K330" s="37" t="s">
        <v>77</v>
      </c>
      <c r="L330" s="37" t="s">
        <v>77</v>
      </c>
      <c r="M330" s="37" t="s">
        <v>77</v>
      </c>
      <c r="N330" s="37" t="s">
        <v>77</v>
      </c>
      <c r="O330" s="37" t="s">
        <v>77</v>
      </c>
      <c r="P330" s="37" t="s">
        <v>77</v>
      </c>
      <c r="Q330" s="37" t="s">
        <v>1068</v>
      </c>
    </row>
    <row r="331" spans="1:17" ht="15">
      <c r="A331">
        <v>329</v>
      </c>
      <c r="B331" s="37" t="s">
        <v>1003</v>
      </c>
      <c r="C331" s="37" t="s">
        <v>1069</v>
      </c>
      <c r="D331" s="37" t="s">
        <v>1070</v>
      </c>
      <c r="E331" s="37">
        <v>3</v>
      </c>
      <c r="F331" s="37" t="s">
        <v>77</v>
      </c>
      <c r="G331" s="37" t="s">
        <v>77</v>
      </c>
      <c r="H331" s="37" t="s">
        <v>77</v>
      </c>
      <c r="I331" s="37" t="s">
        <v>77</v>
      </c>
      <c r="J331" s="37" t="s">
        <v>77</v>
      </c>
      <c r="K331" s="37" t="s">
        <v>77</v>
      </c>
      <c r="L331" s="37" t="s">
        <v>77</v>
      </c>
      <c r="M331" s="37" t="s">
        <v>77</v>
      </c>
      <c r="N331" s="37" t="s">
        <v>77</v>
      </c>
      <c r="O331" s="37" t="s">
        <v>77</v>
      </c>
      <c r="P331" s="37" t="s">
        <v>77</v>
      </c>
      <c r="Q331" s="37" t="s">
        <v>1071</v>
      </c>
    </row>
    <row r="332" spans="1:17" ht="15">
      <c r="A332">
        <v>330</v>
      </c>
      <c r="B332" s="37" t="s">
        <v>1003</v>
      </c>
      <c r="C332" s="37" t="s">
        <v>1072</v>
      </c>
      <c r="D332" s="37" t="s">
        <v>1073</v>
      </c>
      <c r="E332" s="37">
        <v>3</v>
      </c>
      <c r="F332" s="37" t="s">
        <v>77</v>
      </c>
      <c r="G332" s="37" t="s">
        <v>77</v>
      </c>
      <c r="H332" s="37" t="s">
        <v>77</v>
      </c>
      <c r="I332" s="37" t="s">
        <v>77</v>
      </c>
      <c r="J332" s="37" t="s">
        <v>77</v>
      </c>
      <c r="K332" s="37" t="s">
        <v>77</v>
      </c>
      <c r="L332" s="37" t="s">
        <v>77</v>
      </c>
      <c r="M332" s="37" t="s">
        <v>77</v>
      </c>
      <c r="N332" s="37" t="s">
        <v>77</v>
      </c>
      <c r="O332" s="37" t="s">
        <v>77</v>
      </c>
      <c r="P332" s="37" t="s">
        <v>77</v>
      </c>
      <c r="Q332" s="37" t="s">
        <v>1074</v>
      </c>
    </row>
    <row r="333" spans="1:17" ht="15">
      <c r="A333">
        <v>331</v>
      </c>
      <c r="B333" s="37" t="s">
        <v>1003</v>
      </c>
      <c r="C333" s="37" t="s">
        <v>1075</v>
      </c>
      <c r="D333" s="37" t="s">
        <v>1076</v>
      </c>
      <c r="E333" s="37">
        <v>3</v>
      </c>
      <c r="F333" s="37" t="s">
        <v>77</v>
      </c>
      <c r="G333" s="37" t="s">
        <v>77</v>
      </c>
      <c r="H333" s="37" t="s">
        <v>77</v>
      </c>
      <c r="I333" s="37" t="s">
        <v>77</v>
      </c>
      <c r="J333" s="37" t="s">
        <v>77</v>
      </c>
      <c r="K333" s="37" t="s">
        <v>77</v>
      </c>
      <c r="L333" s="37" t="s">
        <v>77</v>
      </c>
      <c r="M333" s="37" t="s">
        <v>77</v>
      </c>
      <c r="N333" s="37" t="s">
        <v>77</v>
      </c>
      <c r="O333" s="37" t="s">
        <v>77</v>
      </c>
      <c r="P333" s="37" t="s">
        <v>77</v>
      </c>
      <c r="Q333" s="37" t="s">
        <v>1077</v>
      </c>
    </row>
    <row r="334" spans="1:17" ht="15">
      <c r="A334">
        <v>332</v>
      </c>
      <c r="B334" s="37" t="s">
        <v>1003</v>
      </c>
      <c r="C334" s="37" t="s">
        <v>1078</v>
      </c>
      <c r="D334" s="37" t="s">
        <v>1079</v>
      </c>
      <c r="E334" s="37">
        <v>3</v>
      </c>
      <c r="F334" s="37" t="s">
        <v>77</v>
      </c>
      <c r="G334" s="37" t="s">
        <v>77</v>
      </c>
      <c r="H334" s="37" t="s">
        <v>77</v>
      </c>
      <c r="I334" s="37" t="s">
        <v>77</v>
      </c>
      <c r="J334" s="37" t="s">
        <v>77</v>
      </c>
      <c r="K334" s="37" t="s">
        <v>77</v>
      </c>
      <c r="L334" s="37" t="s">
        <v>77</v>
      </c>
      <c r="M334" s="37" t="s">
        <v>77</v>
      </c>
      <c r="N334" s="37" t="s">
        <v>77</v>
      </c>
      <c r="O334" s="37" t="s">
        <v>77</v>
      </c>
      <c r="P334" s="37" t="s">
        <v>77</v>
      </c>
      <c r="Q334" s="37" t="s">
        <v>1080</v>
      </c>
    </row>
    <row r="335" spans="1:17" ht="15">
      <c r="A335">
        <v>333</v>
      </c>
      <c r="B335" s="37" t="s">
        <v>1003</v>
      </c>
      <c r="C335" s="37" t="s">
        <v>1081</v>
      </c>
      <c r="D335" s="37" t="s">
        <v>1082</v>
      </c>
      <c r="E335" s="37">
        <v>3</v>
      </c>
      <c r="F335" s="37" t="s">
        <v>77</v>
      </c>
      <c r="G335" s="37" t="s">
        <v>77</v>
      </c>
      <c r="H335" s="37" t="s">
        <v>77</v>
      </c>
      <c r="I335" s="37" t="s">
        <v>77</v>
      </c>
      <c r="J335" s="37" t="s">
        <v>77</v>
      </c>
      <c r="K335" s="37" t="s">
        <v>77</v>
      </c>
      <c r="L335" s="37" t="s">
        <v>77</v>
      </c>
      <c r="M335" s="37" t="s">
        <v>77</v>
      </c>
      <c r="N335" s="37" t="s">
        <v>77</v>
      </c>
      <c r="O335" s="37" t="s">
        <v>77</v>
      </c>
      <c r="P335" s="37" t="s">
        <v>77</v>
      </c>
      <c r="Q335" s="37" t="s">
        <v>1083</v>
      </c>
    </row>
    <row r="336" spans="1:17" ht="15">
      <c r="A336">
        <v>334</v>
      </c>
      <c r="B336" s="37" t="s">
        <v>1003</v>
      </c>
      <c r="C336" s="37" t="s">
        <v>1084</v>
      </c>
      <c r="D336" s="37" t="s">
        <v>1085</v>
      </c>
      <c r="E336" s="37">
        <v>3</v>
      </c>
      <c r="F336" s="37" t="s">
        <v>77</v>
      </c>
      <c r="G336" s="37" t="s">
        <v>77</v>
      </c>
      <c r="H336" s="37" t="s">
        <v>77</v>
      </c>
      <c r="I336" s="37" t="s">
        <v>77</v>
      </c>
      <c r="J336" s="37" t="s">
        <v>77</v>
      </c>
      <c r="K336" s="37" t="s">
        <v>77</v>
      </c>
      <c r="L336" s="37" t="s">
        <v>77</v>
      </c>
      <c r="M336" s="37" t="s">
        <v>77</v>
      </c>
      <c r="N336" s="37" t="s">
        <v>77</v>
      </c>
      <c r="O336" s="37" t="s">
        <v>77</v>
      </c>
      <c r="P336" s="37" t="s">
        <v>77</v>
      </c>
      <c r="Q336" s="37" t="s">
        <v>1086</v>
      </c>
    </row>
    <row r="337" spans="1:17" ht="15">
      <c r="A337">
        <v>335</v>
      </c>
      <c r="B337" s="37" t="s">
        <v>1003</v>
      </c>
      <c r="C337" s="37" t="s">
        <v>1087</v>
      </c>
      <c r="D337" s="37" t="s">
        <v>1088</v>
      </c>
      <c r="E337" s="37">
        <v>3</v>
      </c>
      <c r="F337" s="37" t="s">
        <v>77</v>
      </c>
      <c r="G337" s="37" t="s">
        <v>77</v>
      </c>
      <c r="H337" s="37" t="s">
        <v>77</v>
      </c>
      <c r="I337" s="37" t="s">
        <v>77</v>
      </c>
      <c r="J337" s="37" t="s">
        <v>77</v>
      </c>
      <c r="K337" s="37" t="s">
        <v>77</v>
      </c>
      <c r="L337" s="37" t="s">
        <v>77</v>
      </c>
      <c r="M337" s="37" t="s">
        <v>77</v>
      </c>
      <c r="N337" s="37" t="s">
        <v>77</v>
      </c>
      <c r="O337" s="37" t="s">
        <v>77</v>
      </c>
      <c r="P337" s="37" t="s">
        <v>77</v>
      </c>
      <c r="Q337" s="37" t="s">
        <v>1089</v>
      </c>
    </row>
    <row r="338" spans="1:17" ht="15">
      <c r="A338">
        <v>336</v>
      </c>
      <c r="B338" s="37" t="s">
        <v>1003</v>
      </c>
      <c r="C338" s="37" t="s">
        <v>1090</v>
      </c>
      <c r="D338" s="37" t="s">
        <v>1091</v>
      </c>
      <c r="E338" s="37">
        <v>3</v>
      </c>
      <c r="F338" s="37" t="s">
        <v>77</v>
      </c>
      <c r="G338" s="37" t="s">
        <v>77</v>
      </c>
      <c r="H338" s="37" t="s">
        <v>77</v>
      </c>
      <c r="I338" s="37" t="s">
        <v>77</v>
      </c>
      <c r="J338" s="37" t="s">
        <v>77</v>
      </c>
      <c r="K338" s="37" t="s">
        <v>77</v>
      </c>
      <c r="L338" s="37" t="s">
        <v>77</v>
      </c>
      <c r="M338" s="37" t="s">
        <v>77</v>
      </c>
      <c r="N338" s="37" t="s">
        <v>77</v>
      </c>
      <c r="O338" s="37" t="s">
        <v>77</v>
      </c>
      <c r="P338" s="37" t="s">
        <v>77</v>
      </c>
      <c r="Q338" s="37" t="s">
        <v>1092</v>
      </c>
    </row>
    <row r="339" spans="1:17" ht="15">
      <c r="A339">
        <v>337</v>
      </c>
      <c r="B339" s="37" t="s">
        <v>1003</v>
      </c>
      <c r="C339" s="37" t="s">
        <v>1093</v>
      </c>
      <c r="D339" s="37" t="s">
        <v>1094</v>
      </c>
      <c r="E339" s="37">
        <v>3</v>
      </c>
      <c r="F339" s="37" t="s">
        <v>77</v>
      </c>
      <c r="G339" s="37" t="s">
        <v>77</v>
      </c>
      <c r="H339" s="37" t="s">
        <v>77</v>
      </c>
      <c r="I339" s="37" t="s">
        <v>77</v>
      </c>
      <c r="J339" s="37" t="s">
        <v>77</v>
      </c>
      <c r="K339" s="37" t="s">
        <v>77</v>
      </c>
      <c r="L339" s="37" t="s">
        <v>77</v>
      </c>
      <c r="M339" s="37" t="s">
        <v>77</v>
      </c>
      <c r="N339" s="37" t="s">
        <v>77</v>
      </c>
      <c r="O339" s="37" t="s">
        <v>77</v>
      </c>
      <c r="P339" s="37" t="s">
        <v>77</v>
      </c>
      <c r="Q339" s="37" t="s">
        <v>1095</v>
      </c>
    </row>
    <row r="340" spans="1:17" ht="15">
      <c r="A340">
        <v>338</v>
      </c>
      <c r="B340" s="37" t="s">
        <v>1003</v>
      </c>
      <c r="C340" s="37" t="s">
        <v>1096</v>
      </c>
      <c r="D340" s="37" t="s">
        <v>1097</v>
      </c>
      <c r="E340" s="37">
        <v>3</v>
      </c>
      <c r="F340" s="37" t="s">
        <v>77</v>
      </c>
      <c r="G340" s="37" t="s">
        <v>77</v>
      </c>
      <c r="H340" s="37" t="s">
        <v>77</v>
      </c>
      <c r="I340" s="37" t="s">
        <v>77</v>
      </c>
      <c r="J340" s="37" t="s">
        <v>77</v>
      </c>
      <c r="K340" s="37" t="s">
        <v>77</v>
      </c>
      <c r="L340" s="37" t="s">
        <v>77</v>
      </c>
      <c r="M340" s="37" t="s">
        <v>77</v>
      </c>
      <c r="N340" s="37" t="s">
        <v>77</v>
      </c>
      <c r="O340" s="37" t="s">
        <v>77</v>
      </c>
      <c r="P340" s="37" t="s">
        <v>77</v>
      </c>
      <c r="Q340" s="37" t="s">
        <v>1098</v>
      </c>
    </row>
    <row r="341" spans="1:17" ht="15">
      <c r="A341">
        <v>339</v>
      </c>
      <c r="B341" s="37" t="s">
        <v>1003</v>
      </c>
      <c r="C341" s="37" t="s">
        <v>1099</v>
      </c>
      <c r="D341" s="37" t="s">
        <v>1100</v>
      </c>
      <c r="E341" s="37">
        <v>3</v>
      </c>
      <c r="F341" s="37" t="s">
        <v>77</v>
      </c>
      <c r="G341" s="37" t="s">
        <v>77</v>
      </c>
      <c r="H341" s="37" t="s">
        <v>77</v>
      </c>
      <c r="I341" s="37" t="s">
        <v>77</v>
      </c>
      <c r="J341" s="37" t="s">
        <v>77</v>
      </c>
      <c r="K341" s="37" t="s">
        <v>77</v>
      </c>
      <c r="L341" s="37" t="s">
        <v>77</v>
      </c>
      <c r="M341" s="37" t="s">
        <v>77</v>
      </c>
      <c r="N341" s="37" t="s">
        <v>77</v>
      </c>
      <c r="O341" s="37" t="s">
        <v>77</v>
      </c>
      <c r="P341" s="37" t="s">
        <v>77</v>
      </c>
      <c r="Q341" s="37" t="s">
        <v>1101</v>
      </c>
    </row>
    <row r="342" spans="1:17" ht="15">
      <c r="A342">
        <v>340</v>
      </c>
      <c r="B342" s="37" t="s">
        <v>1003</v>
      </c>
      <c r="C342" s="37" t="s">
        <v>1102</v>
      </c>
      <c r="D342" s="37" t="s">
        <v>1103</v>
      </c>
      <c r="E342" s="37">
        <v>3</v>
      </c>
      <c r="F342" s="37" t="s">
        <v>77</v>
      </c>
      <c r="G342" s="37" t="s">
        <v>77</v>
      </c>
      <c r="H342" s="37" t="s">
        <v>77</v>
      </c>
      <c r="I342" s="37" t="s">
        <v>77</v>
      </c>
      <c r="J342" s="37" t="s">
        <v>77</v>
      </c>
      <c r="K342" s="37" t="s">
        <v>77</v>
      </c>
      <c r="L342" s="37" t="s">
        <v>77</v>
      </c>
      <c r="M342" s="37" t="s">
        <v>77</v>
      </c>
      <c r="N342" s="37" t="s">
        <v>77</v>
      </c>
      <c r="O342" s="37" t="s">
        <v>77</v>
      </c>
      <c r="P342" s="37" t="s">
        <v>77</v>
      </c>
      <c r="Q342" s="37" t="s">
        <v>1104</v>
      </c>
    </row>
    <row r="343" spans="1:17" ht="15">
      <c r="A343">
        <v>341</v>
      </c>
      <c r="B343" s="37" t="s">
        <v>1003</v>
      </c>
      <c r="C343" s="37" t="s">
        <v>1105</v>
      </c>
      <c r="D343" s="37" t="s">
        <v>1106</v>
      </c>
      <c r="E343" s="37">
        <v>3</v>
      </c>
      <c r="F343" s="37" t="s">
        <v>77</v>
      </c>
      <c r="G343" s="37" t="s">
        <v>77</v>
      </c>
      <c r="H343" s="37" t="s">
        <v>77</v>
      </c>
      <c r="I343" s="37" t="s">
        <v>77</v>
      </c>
      <c r="J343" s="37" t="s">
        <v>77</v>
      </c>
      <c r="K343" s="37" t="s">
        <v>77</v>
      </c>
      <c r="L343" s="37" t="s">
        <v>77</v>
      </c>
      <c r="M343" s="37" t="s">
        <v>77</v>
      </c>
      <c r="N343" s="37" t="s">
        <v>77</v>
      </c>
      <c r="O343" s="37" t="s">
        <v>77</v>
      </c>
      <c r="P343" s="37" t="s">
        <v>77</v>
      </c>
      <c r="Q343" s="37" t="s">
        <v>1107</v>
      </c>
    </row>
    <row r="344" spans="1:17" ht="15">
      <c r="A344">
        <v>342</v>
      </c>
      <c r="B344" s="37" t="s">
        <v>1003</v>
      </c>
      <c r="C344" s="37" t="s">
        <v>1108</v>
      </c>
      <c r="D344" s="37" t="s">
        <v>1109</v>
      </c>
      <c r="E344" s="37">
        <v>3</v>
      </c>
      <c r="F344" s="37" t="s">
        <v>77</v>
      </c>
      <c r="G344" s="37" t="s">
        <v>77</v>
      </c>
      <c r="H344" s="37" t="s">
        <v>77</v>
      </c>
      <c r="I344" s="37" t="s">
        <v>77</v>
      </c>
      <c r="J344" s="37" t="s">
        <v>77</v>
      </c>
      <c r="K344" s="37" t="s">
        <v>77</v>
      </c>
      <c r="L344" s="37" t="s">
        <v>77</v>
      </c>
      <c r="M344" s="37" t="s">
        <v>77</v>
      </c>
      <c r="N344" s="37" t="s">
        <v>77</v>
      </c>
      <c r="O344" s="37" t="s">
        <v>77</v>
      </c>
      <c r="P344" s="37" t="s">
        <v>77</v>
      </c>
      <c r="Q344" s="37" t="s">
        <v>1110</v>
      </c>
    </row>
    <row r="345" spans="1:17" ht="15">
      <c r="A345">
        <v>343</v>
      </c>
      <c r="B345" s="37" t="s">
        <v>1003</v>
      </c>
      <c r="C345" s="37" t="s">
        <v>1111</v>
      </c>
      <c r="D345" s="37" t="s">
        <v>1112</v>
      </c>
      <c r="E345" s="37">
        <v>3</v>
      </c>
      <c r="F345" s="37" t="s">
        <v>77</v>
      </c>
      <c r="G345" s="37" t="s">
        <v>77</v>
      </c>
      <c r="H345" s="37" t="s">
        <v>77</v>
      </c>
      <c r="I345" s="37" t="s">
        <v>77</v>
      </c>
      <c r="J345" s="37" t="s">
        <v>77</v>
      </c>
      <c r="K345" s="37" t="s">
        <v>77</v>
      </c>
      <c r="L345" s="37" t="s">
        <v>77</v>
      </c>
      <c r="M345" s="37" t="s">
        <v>77</v>
      </c>
      <c r="N345" s="37" t="s">
        <v>77</v>
      </c>
      <c r="O345" s="37" t="s">
        <v>77</v>
      </c>
      <c r="P345" s="37" t="s">
        <v>77</v>
      </c>
      <c r="Q345" s="37" t="s">
        <v>1113</v>
      </c>
    </row>
    <row r="346" spans="1:17" ht="15">
      <c r="A346">
        <v>344</v>
      </c>
      <c r="B346" s="37" t="s">
        <v>1003</v>
      </c>
      <c r="C346" s="37" t="s">
        <v>1114</v>
      </c>
      <c r="D346" s="37" t="s">
        <v>1115</v>
      </c>
      <c r="E346" s="37">
        <v>3</v>
      </c>
      <c r="F346" s="37" t="s">
        <v>77</v>
      </c>
      <c r="G346" s="37" t="s">
        <v>77</v>
      </c>
      <c r="H346" s="37" t="s">
        <v>77</v>
      </c>
      <c r="I346" s="37" t="s">
        <v>77</v>
      </c>
      <c r="J346" s="37" t="s">
        <v>77</v>
      </c>
      <c r="K346" s="37" t="s">
        <v>77</v>
      </c>
      <c r="L346" s="37" t="s">
        <v>77</v>
      </c>
      <c r="M346" s="37" t="s">
        <v>77</v>
      </c>
      <c r="N346" s="37" t="s">
        <v>77</v>
      </c>
      <c r="O346" s="37" t="s">
        <v>77</v>
      </c>
      <c r="P346" s="37" t="s">
        <v>77</v>
      </c>
      <c r="Q346" s="37" t="s">
        <v>1116</v>
      </c>
    </row>
    <row r="347" spans="1:17" ht="15">
      <c r="A347">
        <v>345</v>
      </c>
      <c r="B347" s="37" t="s">
        <v>1003</v>
      </c>
      <c r="C347" s="37" t="s">
        <v>1117</v>
      </c>
      <c r="D347" s="37" t="s">
        <v>1118</v>
      </c>
      <c r="E347" s="37">
        <v>3</v>
      </c>
      <c r="F347" s="37" t="s">
        <v>77</v>
      </c>
      <c r="G347" s="37" t="s">
        <v>77</v>
      </c>
      <c r="H347" s="37" t="s">
        <v>77</v>
      </c>
      <c r="I347" s="37" t="s">
        <v>77</v>
      </c>
      <c r="J347" s="37" t="s">
        <v>77</v>
      </c>
      <c r="K347" s="37" t="s">
        <v>77</v>
      </c>
      <c r="L347" s="37" t="s">
        <v>77</v>
      </c>
      <c r="M347" s="37" t="s">
        <v>77</v>
      </c>
      <c r="N347" s="37" t="s">
        <v>77</v>
      </c>
      <c r="O347" s="37" t="s">
        <v>77</v>
      </c>
      <c r="P347" s="37" t="s">
        <v>77</v>
      </c>
      <c r="Q347" s="37" t="s">
        <v>1119</v>
      </c>
    </row>
    <row r="348" spans="1:17" ht="15">
      <c r="A348">
        <v>346</v>
      </c>
      <c r="B348" s="37" t="s">
        <v>1003</v>
      </c>
      <c r="C348" s="37" t="s">
        <v>1120</v>
      </c>
      <c r="D348" s="37" t="s">
        <v>1121</v>
      </c>
      <c r="E348" s="37">
        <v>3</v>
      </c>
      <c r="F348" s="37" t="s">
        <v>77</v>
      </c>
      <c r="G348" s="37" t="s">
        <v>77</v>
      </c>
      <c r="H348" s="37" t="s">
        <v>77</v>
      </c>
      <c r="I348" s="37" t="s">
        <v>77</v>
      </c>
      <c r="J348" s="37" t="s">
        <v>77</v>
      </c>
      <c r="K348" s="37" t="s">
        <v>77</v>
      </c>
      <c r="L348" s="37" t="s">
        <v>77</v>
      </c>
      <c r="M348" s="37" t="s">
        <v>77</v>
      </c>
      <c r="N348" s="37" t="s">
        <v>77</v>
      </c>
      <c r="O348" s="37" t="s">
        <v>77</v>
      </c>
      <c r="P348" s="37" t="s">
        <v>77</v>
      </c>
      <c r="Q348" s="37" t="s">
        <v>1122</v>
      </c>
    </row>
    <row r="349" spans="1:17" ht="15">
      <c r="A349">
        <v>347</v>
      </c>
      <c r="B349" s="37" t="s">
        <v>1003</v>
      </c>
      <c r="C349" s="37" t="s">
        <v>1123</v>
      </c>
      <c r="D349" s="37" t="s">
        <v>1124</v>
      </c>
      <c r="E349" s="37">
        <v>3</v>
      </c>
      <c r="F349" s="37" t="s">
        <v>77</v>
      </c>
      <c r="G349" s="37" t="s">
        <v>77</v>
      </c>
      <c r="H349" s="37" t="s">
        <v>77</v>
      </c>
      <c r="I349" s="37" t="s">
        <v>77</v>
      </c>
      <c r="J349" s="37" t="s">
        <v>77</v>
      </c>
      <c r="K349" s="37" t="s">
        <v>77</v>
      </c>
      <c r="L349" s="37" t="s">
        <v>77</v>
      </c>
      <c r="M349" s="37" t="s">
        <v>77</v>
      </c>
      <c r="N349" s="37" t="s">
        <v>77</v>
      </c>
      <c r="O349" s="37" t="s">
        <v>77</v>
      </c>
      <c r="P349" s="37" t="s">
        <v>77</v>
      </c>
      <c r="Q349" s="37" t="s">
        <v>1125</v>
      </c>
    </row>
    <row r="350" spans="1:17" ht="15">
      <c r="A350">
        <v>348</v>
      </c>
      <c r="B350" s="37" t="s">
        <v>1003</v>
      </c>
      <c r="C350" s="37" t="s">
        <v>1126</v>
      </c>
      <c r="D350" s="37" t="s">
        <v>1127</v>
      </c>
      <c r="E350" s="37">
        <v>3</v>
      </c>
      <c r="F350" s="37" t="s">
        <v>77</v>
      </c>
      <c r="G350" s="37" t="s">
        <v>77</v>
      </c>
      <c r="H350" s="37" t="s">
        <v>77</v>
      </c>
      <c r="I350" s="37" t="s">
        <v>77</v>
      </c>
      <c r="J350" s="37" t="s">
        <v>77</v>
      </c>
      <c r="K350" s="37" t="s">
        <v>77</v>
      </c>
      <c r="L350" s="37" t="s">
        <v>77</v>
      </c>
      <c r="M350" s="37" t="s">
        <v>77</v>
      </c>
      <c r="N350" s="37" t="s">
        <v>77</v>
      </c>
      <c r="O350" s="37" t="s">
        <v>77</v>
      </c>
      <c r="P350" s="37" t="s">
        <v>77</v>
      </c>
      <c r="Q350" s="37" t="s">
        <v>1128</v>
      </c>
    </row>
    <row r="351" spans="1:17" ht="15">
      <c r="A351">
        <v>349</v>
      </c>
      <c r="B351" s="37" t="s">
        <v>1003</v>
      </c>
      <c r="C351" s="37" t="s">
        <v>1129</v>
      </c>
      <c r="D351" s="37" t="s">
        <v>1130</v>
      </c>
      <c r="E351" s="37">
        <v>3</v>
      </c>
      <c r="F351" s="37" t="s">
        <v>77</v>
      </c>
      <c r="G351" s="37" t="s">
        <v>77</v>
      </c>
      <c r="H351" s="37" t="s">
        <v>77</v>
      </c>
      <c r="I351" s="37" t="s">
        <v>77</v>
      </c>
      <c r="J351" s="37" t="s">
        <v>77</v>
      </c>
      <c r="K351" s="37" t="s">
        <v>77</v>
      </c>
      <c r="L351" s="37" t="s">
        <v>77</v>
      </c>
      <c r="M351" s="37" t="s">
        <v>77</v>
      </c>
      <c r="N351" s="37" t="s">
        <v>77</v>
      </c>
      <c r="O351" s="37" t="s">
        <v>77</v>
      </c>
      <c r="P351" s="37" t="s">
        <v>77</v>
      </c>
      <c r="Q351" s="37" t="s">
        <v>1131</v>
      </c>
    </row>
    <row r="352" spans="1:17" ht="15">
      <c r="A352">
        <v>350</v>
      </c>
      <c r="B352" s="37" t="s">
        <v>1003</v>
      </c>
      <c r="C352" s="37" t="s">
        <v>1132</v>
      </c>
      <c r="D352" s="37" t="s">
        <v>1133</v>
      </c>
      <c r="E352" s="37">
        <v>3</v>
      </c>
      <c r="F352" s="37" t="s">
        <v>77</v>
      </c>
      <c r="G352" s="37" t="s">
        <v>77</v>
      </c>
      <c r="H352" s="37" t="s">
        <v>77</v>
      </c>
      <c r="I352" s="37" t="s">
        <v>77</v>
      </c>
      <c r="J352" s="37" t="s">
        <v>77</v>
      </c>
      <c r="K352" s="37" t="s">
        <v>77</v>
      </c>
      <c r="L352" s="37" t="s">
        <v>77</v>
      </c>
      <c r="M352" s="37" t="s">
        <v>77</v>
      </c>
      <c r="N352" s="37" t="s">
        <v>77</v>
      </c>
      <c r="O352" s="37" t="s">
        <v>77</v>
      </c>
      <c r="P352" s="37" t="s">
        <v>77</v>
      </c>
      <c r="Q352" s="37" t="s">
        <v>1134</v>
      </c>
    </row>
    <row r="353" spans="1:17" ht="15">
      <c r="A353">
        <v>351</v>
      </c>
      <c r="B353" s="37" t="s">
        <v>1003</v>
      </c>
      <c r="C353" s="37" t="s">
        <v>1135</v>
      </c>
      <c r="D353" s="37" t="s">
        <v>1136</v>
      </c>
      <c r="E353" s="37">
        <v>3</v>
      </c>
      <c r="F353" s="37" t="s">
        <v>77</v>
      </c>
      <c r="G353" s="37" t="s">
        <v>77</v>
      </c>
      <c r="H353" s="37" t="s">
        <v>77</v>
      </c>
      <c r="I353" s="37" t="s">
        <v>77</v>
      </c>
      <c r="J353" s="37" t="s">
        <v>77</v>
      </c>
      <c r="K353" s="37" t="s">
        <v>77</v>
      </c>
      <c r="L353" s="37" t="s">
        <v>77</v>
      </c>
      <c r="M353" s="37" t="s">
        <v>77</v>
      </c>
      <c r="N353" s="37" t="s">
        <v>77</v>
      </c>
      <c r="O353" s="37" t="s">
        <v>77</v>
      </c>
      <c r="P353" s="37" t="s">
        <v>77</v>
      </c>
      <c r="Q353" s="37" t="s">
        <v>1137</v>
      </c>
    </row>
    <row r="354" spans="1:17" ht="15">
      <c r="A354">
        <v>352</v>
      </c>
      <c r="B354" s="37" t="s">
        <v>1003</v>
      </c>
      <c r="C354" s="37" t="s">
        <v>1138</v>
      </c>
      <c r="D354" s="37" t="s">
        <v>1139</v>
      </c>
      <c r="E354" s="37">
        <v>3</v>
      </c>
      <c r="F354" s="37" t="s">
        <v>77</v>
      </c>
      <c r="G354" s="37" t="s">
        <v>77</v>
      </c>
      <c r="H354" s="37" t="s">
        <v>77</v>
      </c>
      <c r="I354" s="37" t="s">
        <v>77</v>
      </c>
      <c r="J354" s="37" t="s">
        <v>77</v>
      </c>
      <c r="K354" s="37" t="s">
        <v>77</v>
      </c>
      <c r="L354" s="37" t="s">
        <v>77</v>
      </c>
      <c r="M354" s="37" t="s">
        <v>77</v>
      </c>
      <c r="N354" s="37" t="s">
        <v>77</v>
      </c>
      <c r="O354" s="37" t="s">
        <v>77</v>
      </c>
      <c r="P354" s="37" t="s">
        <v>77</v>
      </c>
      <c r="Q354" s="37" t="s">
        <v>1140</v>
      </c>
    </row>
    <row r="355" spans="1:17" ht="15">
      <c r="A355">
        <v>353</v>
      </c>
      <c r="B355" s="37" t="s">
        <v>1003</v>
      </c>
      <c r="C355" s="37" t="s">
        <v>1141</v>
      </c>
      <c r="D355" s="37" t="s">
        <v>1142</v>
      </c>
      <c r="E355" s="37">
        <v>3</v>
      </c>
      <c r="F355" s="37" t="s">
        <v>77</v>
      </c>
      <c r="G355" s="37" t="s">
        <v>77</v>
      </c>
      <c r="H355" s="37" t="s">
        <v>77</v>
      </c>
      <c r="I355" s="37" t="s">
        <v>77</v>
      </c>
      <c r="J355" s="37" t="s">
        <v>77</v>
      </c>
      <c r="K355" s="37" t="s">
        <v>77</v>
      </c>
      <c r="L355" s="37" t="s">
        <v>77</v>
      </c>
      <c r="M355" s="37" t="s">
        <v>77</v>
      </c>
      <c r="N355" s="37" t="s">
        <v>77</v>
      </c>
      <c r="O355" s="37" t="s">
        <v>77</v>
      </c>
      <c r="P355" s="37" t="s">
        <v>77</v>
      </c>
      <c r="Q355" s="37" t="s">
        <v>1143</v>
      </c>
    </row>
    <row r="356" spans="1:17" ht="15">
      <c r="A356">
        <v>354</v>
      </c>
      <c r="B356" s="37" t="s">
        <v>1003</v>
      </c>
      <c r="C356" s="37" t="s">
        <v>1144</v>
      </c>
      <c r="D356" s="37" t="s">
        <v>1145</v>
      </c>
      <c r="E356" s="37">
        <v>3</v>
      </c>
      <c r="F356" s="37" t="s">
        <v>77</v>
      </c>
      <c r="G356" s="37" t="s">
        <v>77</v>
      </c>
      <c r="H356" s="37" t="s">
        <v>77</v>
      </c>
      <c r="I356" s="37" t="s">
        <v>77</v>
      </c>
      <c r="J356" s="37" t="s">
        <v>77</v>
      </c>
      <c r="K356" s="37" t="s">
        <v>77</v>
      </c>
      <c r="L356" s="37" t="s">
        <v>77</v>
      </c>
      <c r="M356" s="37" t="s">
        <v>77</v>
      </c>
      <c r="N356" s="37" t="s">
        <v>77</v>
      </c>
      <c r="O356" s="37" t="s">
        <v>77</v>
      </c>
      <c r="P356" s="37" t="s">
        <v>77</v>
      </c>
      <c r="Q356" s="37" t="s">
        <v>1146</v>
      </c>
    </row>
    <row r="357" spans="1:17" ht="15">
      <c r="A357">
        <v>355</v>
      </c>
      <c r="B357" s="37" t="s">
        <v>1003</v>
      </c>
      <c r="C357" s="37" t="s">
        <v>1147</v>
      </c>
      <c r="D357" s="37" t="s">
        <v>1148</v>
      </c>
      <c r="E357" s="37">
        <v>3</v>
      </c>
      <c r="F357" s="37" t="s">
        <v>77</v>
      </c>
      <c r="G357" s="37" t="s">
        <v>77</v>
      </c>
      <c r="H357" s="37" t="s">
        <v>77</v>
      </c>
      <c r="I357" s="37" t="s">
        <v>77</v>
      </c>
      <c r="J357" s="37" t="s">
        <v>77</v>
      </c>
      <c r="K357" s="37" t="s">
        <v>77</v>
      </c>
      <c r="L357" s="37" t="s">
        <v>77</v>
      </c>
      <c r="M357" s="37" t="s">
        <v>77</v>
      </c>
      <c r="N357" s="37" t="s">
        <v>77</v>
      </c>
      <c r="O357" s="37" t="s">
        <v>77</v>
      </c>
      <c r="P357" s="37" t="s">
        <v>77</v>
      </c>
      <c r="Q357" s="37" t="s">
        <v>1149</v>
      </c>
    </row>
    <row r="358" spans="1:17" ht="15">
      <c r="A358">
        <v>356</v>
      </c>
      <c r="B358" s="37" t="s">
        <v>1003</v>
      </c>
      <c r="C358" s="37" t="s">
        <v>1150</v>
      </c>
      <c r="D358" s="37" t="s">
        <v>1151</v>
      </c>
      <c r="E358" s="37">
        <v>3</v>
      </c>
      <c r="F358" s="37" t="s">
        <v>77</v>
      </c>
      <c r="G358" s="37" t="s">
        <v>77</v>
      </c>
      <c r="H358" s="37" t="s">
        <v>77</v>
      </c>
      <c r="I358" s="37" t="s">
        <v>77</v>
      </c>
      <c r="J358" s="37" t="s">
        <v>77</v>
      </c>
      <c r="K358" s="37" t="s">
        <v>77</v>
      </c>
      <c r="L358" s="37" t="s">
        <v>77</v>
      </c>
      <c r="M358" s="37" t="s">
        <v>77</v>
      </c>
      <c r="N358" s="37" t="s">
        <v>77</v>
      </c>
      <c r="O358" s="37" t="s">
        <v>77</v>
      </c>
      <c r="P358" s="37" t="s">
        <v>77</v>
      </c>
      <c r="Q358" s="37" t="s">
        <v>1152</v>
      </c>
    </row>
    <row r="359" spans="1:17" ht="15">
      <c r="A359">
        <v>357</v>
      </c>
      <c r="B359" s="37" t="s">
        <v>1003</v>
      </c>
      <c r="C359" s="37" t="s">
        <v>1153</v>
      </c>
      <c r="D359" s="37" t="s">
        <v>1154</v>
      </c>
      <c r="E359" s="37">
        <v>3</v>
      </c>
      <c r="F359" s="37" t="s">
        <v>77</v>
      </c>
      <c r="G359" s="37" t="s">
        <v>77</v>
      </c>
      <c r="H359" s="37" t="s">
        <v>77</v>
      </c>
      <c r="I359" s="37" t="s">
        <v>77</v>
      </c>
      <c r="J359" s="37" t="s">
        <v>77</v>
      </c>
      <c r="K359" s="37" t="s">
        <v>77</v>
      </c>
      <c r="L359" s="37" t="s">
        <v>77</v>
      </c>
      <c r="M359" s="37" t="s">
        <v>77</v>
      </c>
      <c r="N359" s="37" t="s">
        <v>77</v>
      </c>
      <c r="O359" s="37" t="s">
        <v>77</v>
      </c>
      <c r="P359" s="37" t="s">
        <v>77</v>
      </c>
      <c r="Q359" s="37" t="s">
        <v>1155</v>
      </c>
    </row>
    <row r="360" spans="1:17" ht="15">
      <c r="A360">
        <v>358</v>
      </c>
      <c r="B360" s="37" t="s">
        <v>1003</v>
      </c>
      <c r="C360" s="37" t="s">
        <v>1156</v>
      </c>
      <c r="D360" s="37" t="s">
        <v>1157</v>
      </c>
      <c r="E360" s="37">
        <v>3</v>
      </c>
      <c r="F360" s="37" t="s">
        <v>77</v>
      </c>
      <c r="G360" s="37" t="s">
        <v>77</v>
      </c>
      <c r="H360" s="37" t="s">
        <v>77</v>
      </c>
      <c r="I360" s="37" t="s">
        <v>77</v>
      </c>
      <c r="J360" s="37" t="s">
        <v>77</v>
      </c>
      <c r="K360" s="37" t="s">
        <v>77</v>
      </c>
      <c r="L360" s="37" t="s">
        <v>77</v>
      </c>
      <c r="M360" s="37" t="s">
        <v>77</v>
      </c>
      <c r="N360" s="37" t="s">
        <v>77</v>
      </c>
      <c r="O360" s="37" t="s">
        <v>77</v>
      </c>
      <c r="P360" s="37" t="s">
        <v>77</v>
      </c>
      <c r="Q360" s="37" t="s">
        <v>1158</v>
      </c>
    </row>
    <row r="361" spans="1:17" ht="15">
      <c r="A361">
        <v>359</v>
      </c>
      <c r="B361" s="37" t="s">
        <v>1003</v>
      </c>
      <c r="C361" s="37" t="s">
        <v>1159</v>
      </c>
      <c r="D361" s="37" t="s">
        <v>1160</v>
      </c>
      <c r="E361" s="37">
        <v>3</v>
      </c>
      <c r="F361" s="37" t="s">
        <v>77</v>
      </c>
      <c r="G361" s="37" t="s">
        <v>77</v>
      </c>
      <c r="H361" s="37" t="s">
        <v>77</v>
      </c>
      <c r="I361" s="37" t="s">
        <v>77</v>
      </c>
      <c r="J361" s="37" t="s">
        <v>77</v>
      </c>
      <c r="K361" s="37" t="s">
        <v>77</v>
      </c>
      <c r="L361" s="37" t="s">
        <v>77</v>
      </c>
      <c r="M361" s="37" t="s">
        <v>77</v>
      </c>
      <c r="N361" s="37" t="s">
        <v>77</v>
      </c>
      <c r="O361" s="37" t="s">
        <v>77</v>
      </c>
      <c r="P361" s="37" t="s">
        <v>77</v>
      </c>
      <c r="Q361" s="37" t="s">
        <v>1161</v>
      </c>
    </row>
    <row r="362" spans="1:17" ht="15">
      <c r="A362">
        <v>360</v>
      </c>
      <c r="B362" s="37" t="s">
        <v>1003</v>
      </c>
      <c r="C362" s="37" t="s">
        <v>1162</v>
      </c>
      <c r="D362" s="37" t="s">
        <v>1163</v>
      </c>
      <c r="E362" s="37">
        <v>3</v>
      </c>
      <c r="F362" s="37" t="s">
        <v>77</v>
      </c>
      <c r="G362" s="37" t="s">
        <v>77</v>
      </c>
      <c r="H362" s="37" t="s">
        <v>77</v>
      </c>
      <c r="I362" s="37" t="s">
        <v>77</v>
      </c>
      <c r="J362" s="37" t="s">
        <v>77</v>
      </c>
      <c r="K362" s="37" t="s">
        <v>77</v>
      </c>
      <c r="L362" s="37" t="s">
        <v>77</v>
      </c>
      <c r="M362" s="37" t="s">
        <v>77</v>
      </c>
      <c r="N362" s="37" t="s">
        <v>77</v>
      </c>
      <c r="O362" s="37" t="s">
        <v>77</v>
      </c>
      <c r="P362" s="37" t="s">
        <v>77</v>
      </c>
      <c r="Q362" s="37" t="s">
        <v>1164</v>
      </c>
    </row>
    <row r="363" spans="1:17" ht="15">
      <c r="A363">
        <v>361</v>
      </c>
      <c r="B363" s="37" t="s">
        <v>1003</v>
      </c>
      <c r="C363" s="37" t="s">
        <v>1165</v>
      </c>
      <c r="D363" s="37" t="s">
        <v>1166</v>
      </c>
      <c r="E363" s="37">
        <v>3</v>
      </c>
      <c r="F363" s="37" t="s">
        <v>77</v>
      </c>
      <c r="G363" s="37" t="s">
        <v>77</v>
      </c>
      <c r="H363" s="37" t="s">
        <v>77</v>
      </c>
      <c r="I363" s="37" t="s">
        <v>77</v>
      </c>
      <c r="J363" s="37" t="s">
        <v>77</v>
      </c>
      <c r="K363" s="37" t="s">
        <v>77</v>
      </c>
      <c r="L363" s="37" t="s">
        <v>77</v>
      </c>
      <c r="M363" s="37" t="s">
        <v>77</v>
      </c>
      <c r="N363" s="37" t="s">
        <v>77</v>
      </c>
      <c r="O363" s="37" t="s">
        <v>77</v>
      </c>
      <c r="P363" s="37" t="s">
        <v>77</v>
      </c>
      <c r="Q363" s="37" t="s">
        <v>1167</v>
      </c>
    </row>
    <row r="364" spans="1:17" ht="15">
      <c r="A364">
        <v>362</v>
      </c>
      <c r="B364" s="37" t="s">
        <v>1003</v>
      </c>
      <c r="C364" s="37" t="s">
        <v>1168</v>
      </c>
      <c r="D364" s="37" t="s">
        <v>1169</v>
      </c>
      <c r="E364" s="37">
        <v>3</v>
      </c>
      <c r="F364" s="37" t="s">
        <v>77</v>
      </c>
      <c r="G364" s="37" t="s">
        <v>77</v>
      </c>
      <c r="H364" s="37" t="s">
        <v>77</v>
      </c>
      <c r="I364" s="37" t="s">
        <v>77</v>
      </c>
      <c r="J364" s="37" t="s">
        <v>77</v>
      </c>
      <c r="K364" s="37" t="s">
        <v>77</v>
      </c>
      <c r="L364" s="37" t="s">
        <v>77</v>
      </c>
      <c r="M364" s="37" t="s">
        <v>77</v>
      </c>
      <c r="N364" s="37" t="s">
        <v>77</v>
      </c>
      <c r="O364" s="37" t="s">
        <v>77</v>
      </c>
      <c r="P364" s="37" t="s">
        <v>77</v>
      </c>
      <c r="Q364" s="37" t="s">
        <v>1170</v>
      </c>
    </row>
    <row r="365" spans="1:17" ht="15">
      <c r="A365">
        <v>363</v>
      </c>
      <c r="B365" s="37" t="s">
        <v>1003</v>
      </c>
      <c r="C365" s="37" t="s">
        <v>1171</v>
      </c>
      <c r="D365" s="37" t="s">
        <v>1172</v>
      </c>
      <c r="E365" s="37">
        <v>3</v>
      </c>
      <c r="F365" s="37" t="s">
        <v>77</v>
      </c>
      <c r="G365" s="37" t="s">
        <v>77</v>
      </c>
      <c r="H365" s="37" t="s">
        <v>77</v>
      </c>
      <c r="I365" s="37" t="s">
        <v>77</v>
      </c>
      <c r="J365" s="37" t="s">
        <v>77</v>
      </c>
      <c r="K365" s="37" t="s">
        <v>77</v>
      </c>
      <c r="L365" s="37" t="s">
        <v>77</v>
      </c>
      <c r="M365" s="37" t="s">
        <v>77</v>
      </c>
      <c r="N365" s="37" t="s">
        <v>77</v>
      </c>
      <c r="O365" s="37" t="s">
        <v>77</v>
      </c>
      <c r="P365" s="37" t="s">
        <v>77</v>
      </c>
      <c r="Q365" s="37" t="s">
        <v>1173</v>
      </c>
    </row>
    <row r="366" spans="1:17" ht="15">
      <c r="A366">
        <v>364</v>
      </c>
      <c r="B366" s="37" t="s">
        <v>1003</v>
      </c>
      <c r="C366" s="37" t="s">
        <v>1174</v>
      </c>
      <c r="D366" s="37" t="s">
        <v>1175</v>
      </c>
      <c r="E366" s="37">
        <v>3</v>
      </c>
      <c r="F366" s="37" t="s">
        <v>77</v>
      </c>
      <c r="G366" s="37" t="s">
        <v>77</v>
      </c>
      <c r="H366" s="37" t="s">
        <v>77</v>
      </c>
      <c r="I366" s="37" t="s">
        <v>77</v>
      </c>
      <c r="J366" s="37" t="s">
        <v>77</v>
      </c>
      <c r="K366" s="37" t="s">
        <v>77</v>
      </c>
      <c r="L366" s="37" t="s">
        <v>77</v>
      </c>
      <c r="M366" s="37" t="s">
        <v>77</v>
      </c>
      <c r="N366" s="37" t="s">
        <v>77</v>
      </c>
      <c r="O366" s="37" t="s">
        <v>77</v>
      </c>
      <c r="P366" s="37" t="s">
        <v>77</v>
      </c>
      <c r="Q366" s="37" t="s">
        <v>1176</v>
      </c>
    </row>
    <row r="367" spans="1:17" ht="15">
      <c r="A367">
        <v>365</v>
      </c>
      <c r="B367" s="37" t="s">
        <v>1003</v>
      </c>
      <c r="C367" s="37" t="s">
        <v>1177</v>
      </c>
      <c r="D367" s="37" t="s">
        <v>1178</v>
      </c>
      <c r="E367" s="37">
        <v>3</v>
      </c>
      <c r="F367" s="37" t="s">
        <v>77</v>
      </c>
      <c r="G367" s="37" t="s">
        <v>77</v>
      </c>
      <c r="H367" s="37" t="s">
        <v>77</v>
      </c>
      <c r="I367" s="37" t="s">
        <v>77</v>
      </c>
      <c r="J367" s="37" t="s">
        <v>77</v>
      </c>
      <c r="K367" s="37" t="s">
        <v>77</v>
      </c>
      <c r="L367" s="37" t="s">
        <v>77</v>
      </c>
      <c r="M367" s="37" t="s">
        <v>77</v>
      </c>
      <c r="N367" s="37" t="s">
        <v>77</v>
      </c>
      <c r="O367" s="37" t="s">
        <v>77</v>
      </c>
      <c r="P367" s="37" t="s">
        <v>77</v>
      </c>
      <c r="Q367" s="37" t="s">
        <v>1179</v>
      </c>
    </row>
    <row r="368" spans="1:17" ht="15">
      <c r="A368">
        <v>366</v>
      </c>
      <c r="B368" s="37" t="s">
        <v>1003</v>
      </c>
      <c r="C368" s="37" t="s">
        <v>1180</v>
      </c>
      <c r="D368" s="37" t="s">
        <v>1181</v>
      </c>
      <c r="E368" s="37">
        <v>3</v>
      </c>
      <c r="F368" s="37" t="s">
        <v>77</v>
      </c>
      <c r="G368" s="37" t="s">
        <v>77</v>
      </c>
      <c r="H368" s="37" t="s">
        <v>77</v>
      </c>
      <c r="I368" s="37" t="s">
        <v>77</v>
      </c>
      <c r="J368" s="37" t="s">
        <v>77</v>
      </c>
      <c r="K368" s="37" t="s">
        <v>77</v>
      </c>
      <c r="L368" s="37" t="s">
        <v>77</v>
      </c>
      <c r="M368" s="37" t="s">
        <v>77</v>
      </c>
      <c r="N368" s="37" t="s">
        <v>77</v>
      </c>
      <c r="O368" s="37" t="s">
        <v>77</v>
      </c>
      <c r="P368" s="37" t="s">
        <v>77</v>
      </c>
      <c r="Q368" s="37" t="s">
        <v>1182</v>
      </c>
    </row>
    <row r="369" spans="1:17" ht="15">
      <c r="A369">
        <v>367</v>
      </c>
      <c r="B369" s="37" t="s">
        <v>1003</v>
      </c>
      <c r="C369" s="37" t="s">
        <v>1183</v>
      </c>
      <c r="D369" s="37" t="s">
        <v>1184</v>
      </c>
      <c r="E369" s="37">
        <v>3</v>
      </c>
      <c r="F369" s="37" t="s">
        <v>77</v>
      </c>
      <c r="G369" s="37" t="s">
        <v>77</v>
      </c>
      <c r="H369" s="37" t="s">
        <v>77</v>
      </c>
      <c r="I369" s="37" t="s">
        <v>77</v>
      </c>
      <c r="J369" s="37" t="s">
        <v>77</v>
      </c>
      <c r="K369" s="37" t="s">
        <v>77</v>
      </c>
      <c r="L369" s="37" t="s">
        <v>77</v>
      </c>
      <c r="M369" s="37" t="s">
        <v>77</v>
      </c>
      <c r="N369" s="37" t="s">
        <v>77</v>
      </c>
      <c r="O369" s="37" t="s">
        <v>77</v>
      </c>
      <c r="P369" s="37" t="s">
        <v>77</v>
      </c>
      <c r="Q369" s="37" t="s">
        <v>1185</v>
      </c>
    </row>
    <row r="370" spans="1:17" ht="15">
      <c r="A370">
        <v>368</v>
      </c>
      <c r="B370" s="37" t="s">
        <v>1003</v>
      </c>
      <c r="C370" s="37" t="s">
        <v>1186</v>
      </c>
      <c r="D370" s="37" t="s">
        <v>1187</v>
      </c>
      <c r="E370" s="37">
        <v>3</v>
      </c>
      <c r="F370" s="37" t="s">
        <v>77</v>
      </c>
      <c r="G370" s="37" t="s">
        <v>77</v>
      </c>
      <c r="H370" s="37" t="s">
        <v>77</v>
      </c>
      <c r="I370" s="37" t="s">
        <v>77</v>
      </c>
      <c r="J370" s="37" t="s">
        <v>77</v>
      </c>
      <c r="K370" s="37" t="s">
        <v>77</v>
      </c>
      <c r="L370" s="37" t="s">
        <v>77</v>
      </c>
      <c r="M370" s="37" t="s">
        <v>77</v>
      </c>
      <c r="N370" s="37" t="s">
        <v>77</v>
      </c>
      <c r="O370" s="37" t="s">
        <v>77</v>
      </c>
      <c r="P370" s="37" t="s">
        <v>77</v>
      </c>
      <c r="Q370" s="37" t="s">
        <v>1188</v>
      </c>
    </row>
    <row r="371" spans="1:17" ht="15">
      <c r="A371">
        <v>369</v>
      </c>
      <c r="B371" s="37" t="s">
        <v>1003</v>
      </c>
      <c r="C371" s="37" t="s">
        <v>1189</v>
      </c>
      <c r="D371" s="37" t="s">
        <v>1190</v>
      </c>
      <c r="E371" s="37">
        <v>3</v>
      </c>
      <c r="F371" s="37" t="s">
        <v>77</v>
      </c>
      <c r="G371" s="37" t="s">
        <v>77</v>
      </c>
      <c r="H371" s="37" t="s">
        <v>77</v>
      </c>
      <c r="I371" s="37" t="s">
        <v>77</v>
      </c>
      <c r="J371" s="37" t="s">
        <v>77</v>
      </c>
      <c r="K371" s="37" t="s">
        <v>77</v>
      </c>
      <c r="L371" s="37" t="s">
        <v>77</v>
      </c>
      <c r="M371" s="37" t="s">
        <v>77</v>
      </c>
      <c r="N371" s="37" t="s">
        <v>77</v>
      </c>
      <c r="O371" s="37" t="s">
        <v>77</v>
      </c>
      <c r="P371" s="37" t="s">
        <v>78</v>
      </c>
      <c r="Q371" s="37" t="s">
        <v>1191</v>
      </c>
    </row>
    <row r="372" spans="1:17" ht="15">
      <c r="A372">
        <v>370</v>
      </c>
      <c r="B372" s="37" t="s">
        <v>1003</v>
      </c>
      <c r="C372" s="37" t="s">
        <v>1192</v>
      </c>
      <c r="D372" s="37" t="s">
        <v>1193</v>
      </c>
      <c r="E372" s="37">
        <v>3</v>
      </c>
      <c r="F372" s="37" t="s">
        <v>77</v>
      </c>
      <c r="G372" s="37" t="s">
        <v>77</v>
      </c>
      <c r="H372" s="37" t="s">
        <v>77</v>
      </c>
      <c r="I372" s="37" t="s">
        <v>77</v>
      </c>
      <c r="J372" s="37" t="s">
        <v>77</v>
      </c>
      <c r="K372" s="37" t="s">
        <v>77</v>
      </c>
      <c r="L372" s="37" t="s">
        <v>77</v>
      </c>
      <c r="M372" s="37" t="s">
        <v>77</v>
      </c>
      <c r="N372" s="37" t="s">
        <v>77</v>
      </c>
      <c r="O372" s="37" t="s">
        <v>77</v>
      </c>
      <c r="P372" s="37" t="s">
        <v>77</v>
      </c>
      <c r="Q372" s="37" t="s">
        <v>1194</v>
      </c>
    </row>
    <row r="373" spans="1:17" ht="15">
      <c r="A373">
        <v>371</v>
      </c>
      <c r="B373" s="37" t="s">
        <v>1003</v>
      </c>
      <c r="C373" s="37" t="s">
        <v>1195</v>
      </c>
      <c r="D373" s="37" t="s">
        <v>1196</v>
      </c>
      <c r="E373" s="37">
        <v>3</v>
      </c>
      <c r="F373" s="37" t="s">
        <v>77</v>
      </c>
      <c r="G373" s="37" t="s">
        <v>77</v>
      </c>
      <c r="H373" s="37" t="s">
        <v>77</v>
      </c>
      <c r="I373" s="37" t="s">
        <v>77</v>
      </c>
      <c r="J373" s="37" t="s">
        <v>77</v>
      </c>
      <c r="K373" s="37" t="s">
        <v>77</v>
      </c>
      <c r="L373" s="37" t="s">
        <v>77</v>
      </c>
      <c r="M373" s="37" t="s">
        <v>77</v>
      </c>
      <c r="N373" s="37" t="s">
        <v>77</v>
      </c>
      <c r="O373" s="37" t="s">
        <v>77</v>
      </c>
      <c r="P373" s="37" t="s">
        <v>77</v>
      </c>
      <c r="Q373" s="37" t="s">
        <v>1197</v>
      </c>
    </row>
    <row r="374" spans="1:17" ht="15">
      <c r="A374">
        <v>372</v>
      </c>
      <c r="B374" s="37" t="s">
        <v>1003</v>
      </c>
      <c r="C374" s="37" t="s">
        <v>1198</v>
      </c>
      <c r="D374" s="37" t="s">
        <v>1199</v>
      </c>
      <c r="E374" s="37">
        <v>3</v>
      </c>
      <c r="F374" s="37" t="s">
        <v>77</v>
      </c>
      <c r="G374" s="37" t="s">
        <v>77</v>
      </c>
      <c r="H374" s="37" t="s">
        <v>77</v>
      </c>
      <c r="I374" s="37" t="s">
        <v>77</v>
      </c>
      <c r="J374" s="37" t="s">
        <v>77</v>
      </c>
      <c r="K374" s="37" t="s">
        <v>77</v>
      </c>
      <c r="L374" s="37" t="s">
        <v>77</v>
      </c>
      <c r="M374" s="37" t="s">
        <v>77</v>
      </c>
      <c r="N374" s="37" t="s">
        <v>77</v>
      </c>
      <c r="O374" s="37" t="s">
        <v>77</v>
      </c>
      <c r="P374" s="37" t="s">
        <v>77</v>
      </c>
      <c r="Q374" s="37" t="s">
        <v>1200</v>
      </c>
    </row>
    <row r="375" spans="1:17" ht="15">
      <c r="A375">
        <v>373</v>
      </c>
      <c r="B375" s="37" t="s">
        <v>1003</v>
      </c>
      <c r="C375" s="37" t="s">
        <v>1201</v>
      </c>
      <c r="D375" s="37" t="s">
        <v>1202</v>
      </c>
      <c r="E375" s="37">
        <v>3</v>
      </c>
      <c r="F375" s="37" t="s">
        <v>77</v>
      </c>
      <c r="G375" s="37" t="s">
        <v>77</v>
      </c>
      <c r="H375" s="37" t="s">
        <v>77</v>
      </c>
      <c r="I375" s="37" t="s">
        <v>77</v>
      </c>
      <c r="J375" s="37" t="s">
        <v>77</v>
      </c>
      <c r="K375" s="37" t="s">
        <v>77</v>
      </c>
      <c r="L375" s="37" t="s">
        <v>77</v>
      </c>
      <c r="M375" s="37" t="s">
        <v>77</v>
      </c>
      <c r="N375" s="37" t="s">
        <v>77</v>
      </c>
      <c r="O375" s="37" t="s">
        <v>77</v>
      </c>
      <c r="P375" s="37" t="s">
        <v>77</v>
      </c>
      <c r="Q375" s="37" t="s">
        <v>1203</v>
      </c>
    </row>
    <row r="376" spans="1:17" ht="15">
      <c r="A376">
        <v>374</v>
      </c>
      <c r="B376" s="37" t="s">
        <v>1003</v>
      </c>
      <c r="C376" s="37" t="s">
        <v>1204</v>
      </c>
      <c r="D376" s="37" t="s">
        <v>1205</v>
      </c>
      <c r="E376" s="37">
        <v>3</v>
      </c>
      <c r="F376" s="37" t="s">
        <v>77</v>
      </c>
      <c r="G376" s="37" t="s">
        <v>77</v>
      </c>
      <c r="H376" s="37" t="s">
        <v>77</v>
      </c>
      <c r="I376" s="37" t="s">
        <v>77</v>
      </c>
      <c r="J376" s="37" t="s">
        <v>77</v>
      </c>
      <c r="K376" s="37" t="s">
        <v>77</v>
      </c>
      <c r="L376" s="37" t="s">
        <v>77</v>
      </c>
      <c r="M376" s="37" t="s">
        <v>77</v>
      </c>
      <c r="N376" s="37" t="s">
        <v>77</v>
      </c>
      <c r="O376" s="37" t="s">
        <v>77</v>
      </c>
      <c r="P376" s="37" t="s">
        <v>77</v>
      </c>
      <c r="Q376" s="37" t="s">
        <v>1206</v>
      </c>
    </row>
    <row r="377" spans="1:17" ht="15">
      <c r="A377">
        <v>375</v>
      </c>
      <c r="B377" s="37" t="s">
        <v>1003</v>
      </c>
      <c r="C377" s="37" t="s">
        <v>1207</v>
      </c>
      <c r="D377" s="37" t="s">
        <v>1208</v>
      </c>
      <c r="E377" s="37">
        <v>3</v>
      </c>
      <c r="F377" s="37" t="s">
        <v>77</v>
      </c>
      <c r="G377" s="37" t="s">
        <v>77</v>
      </c>
      <c r="H377" s="37" t="s">
        <v>77</v>
      </c>
      <c r="I377" s="37" t="s">
        <v>77</v>
      </c>
      <c r="J377" s="37" t="s">
        <v>77</v>
      </c>
      <c r="K377" s="37" t="s">
        <v>77</v>
      </c>
      <c r="L377" s="37" t="s">
        <v>77</v>
      </c>
      <c r="M377" s="37" t="s">
        <v>77</v>
      </c>
      <c r="N377" s="37" t="s">
        <v>77</v>
      </c>
      <c r="O377" s="37" t="s">
        <v>77</v>
      </c>
      <c r="P377" s="37" t="s">
        <v>77</v>
      </c>
      <c r="Q377" s="37" t="s">
        <v>1209</v>
      </c>
    </row>
    <row r="378" spans="1:17" ht="15">
      <c r="A378">
        <v>376</v>
      </c>
      <c r="B378" s="37" t="s">
        <v>1003</v>
      </c>
      <c r="C378" s="37" t="s">
        <v>1210</v>
      </c>
      <c r="D378" s="37" t="s">
        <v>1211</v>
      </c>
      <c r="E378" s="37">
        <v>3</v>
      </c>
      <c r="F378" s="37" t="s">
        <v>77</v>
      </c>
      <c r="G378" s="37" t="s">
        <v>77</v>
      </c>
      <c r="H378" s="37" t="s">
        <v>77</v>
      </c>
      <c r="I378" s="37" t="s">
        <v>77</v>
      </c>
      <c r="J378" s="37" t="s">
        <v>77</v>
      </c>
      <c r="K378" s="37" t="s">
        <v>77</v>
      </c>
      <c r="L378" s="37" t="s">
        <v>77</v>
      </c>
      <c r="M378" s="37" t="s">
        <v>77</v>
      </c>
      <c r="N378" s="37" t="s">
        <v>77</v>
      </c>
      <c r="O378" s="37" t="s">
        <v>77</v>
      </c>
      <c r="P378" s="37" t="s">
        <v>77</v>
      </c>
      <c r="Q378" s="37" t="s">
        <v>1212</v>
      </c>
    </row>
    <row r="379" spans="1:17" ht="15">
      <c r="A379">
        <v>377</v>
      </c>
      <c r="B379" s="37" t="s">
        <v>1003</v>
      </c>
      <c r="C379" s="37" t="s">
        <v>1213</v>
      </c>
      <c r="D379" s="37" t="s">
        <v>1214</v>
      </c>
      <c r="E379" s="37">
        <v>3</v>
      </c>
      <c r="F379" s="37" t="s">
        <v>77</v>
      </c>
      <c r="G379" s="37" t="s">
        <v>77</v>
      </c>
      <c r="H379" s="37" t="s">
        <v>77</v>
      </c>
      <c r="I379" s="37" t="s">
        <v>77</v>
      </c>
      <c r="J379" s="37" t="s">
        <v>77</v>
      </c>
      <c r="K379" s="37" t="s">
        <v>77</v>
      </c>
      <c r="L379" s="37" t="s">
        <v>77</v>
      </c>
      <c r="M379" s="37" t="s">
        <v>77</v>
      </c>
      <c r="N379" s="37" t="s">
        <v>77</v>
      </c>
      <c r="O379" s="37" t="s">
        <v>77</v>
      </c>
      <c r="P379" s="37" t="s">
        <v>77</v>
      </c>
      <c r="Q379" s="37" t="s">
        <v>1215</v>
      </c>
    </row>
    <row r="380" spans="1:17" ht="15">
      <c r="A380">
        <v>378</v>
      </c>
      <c r="B380" s="37" t="s">
        <v>1003</v>
      </c>
      <c r="C380" s="37" t="s">
        <v>1216</v>
      </c>
      <c r="D380" s="37" t="s">
        <v>1217</v>
      </c>
      <c r="E380" s="37">
        <v>3</v>
      </c>
      <c r="F380" s="37" t="s">
        <v>77</v>
      </c>
      <c r="G380" s="37" t="s">
        <v>77</v>
      </c>
      <c r="H380" s="37" t="s">
        <v>77</v>
      </c>
      <c r="I380" s="37" t="s">
        <v>77</v>
      </c>
      <c r="J380" s="37" t="s">
        <v>77</v>
      </c>
      <c r="K380" s="37" t="s">
        <v>77</v>
      </c>
      <c r="L380" s="37" t="s">
        <v>77</v>
      </c>
      <c r="M380" s="37" t="s">
        <v>77</v>
      </c>
      <c r="N380" s="37" t="s">
        <v>77</v>
      </c>
      <c r="O380" s="37" t="s">
        <v>77</v>
      </c>
      <c r="P380" s="37" t="s">
        <v>77</v>
      </c>
      <c r="Q380" s="37" t="s">
        <v>1218</v>
      </c>
    </row>
    <row r="381" spans="1:17" ht="15">
      <c r="A381">
        <v>379</v>
      </c>
      <c r="B381" s="37" t="s">
        <v>1003</v>
      </c>
      <c r="C381" s="37" t="s">
        <v>1219</v>
      </c>
      <c r="D381" s="37" t="s">
        <v>1220</v>
      </c>
      <c r="E381" s="37">
        <v>3</v>
      </c>
      <c r="F381" s="37" t="s">
        <v>77</v>
      </c>
      <c r="G381" s="37" t="s">
        <v>77</v>
      </c>
      <c r="H381" s="37" t="s">
        <v>77</v>
      </c>
      <c r="I381" s="37" t="s">
        <v>77</v>
      </c>
      <c r="J381" s="37" t="s">
        <v>77</v>
      </c>
      <c r="K381" s="37" t="s">
        <v>77</v>
      </c>
      <c r="L381" s="37" t="s">
        <v>77</v>
      </c>
      <c r="M381" s="37" t="s">
        <v>77</v>
      </c>
      <c r="N381" s="37" t="s">
        <v>77</v>
      </c>
      <c r="O381" s="37" t="s">
        <v>77</v>
      </c>
      <c r="P381" s="37" t="s">
        <v>77</v>
      </c>
      <c r="Q381" s="37" t="s">
        <v>1221</v>
      </c>
    </row>
    <row r="382" spans="1:17" ht="15">
      <c r="A382">
        <v>380</v>
      </c>
      <c r="B382" s="37" t="s">
        <v>1003</v>
      </c>
      <c r="C382" s="37" t="s">
        <v>1222</v>
      </c>
      <c r="D382" s="37" t="s">
        <v>1223</v>
      </c>
      <c r="E382" s="37">
        <v>3</v>
      </c>
      <c r="F382" s="37" t="s">
        <v>77</v>
      </c>
      <c r="G382" s="37" t="s">
        <v>77</v>
      </c>
      <c r="H382" s="37" t="s">
        <v>77</v>
      </c>
      <c r="I382" s="37" t="s">
        <v>77</v>
      </c>
      <c r="J382" s="37" t="s">
        <v>77</v>
      </c>
      <c r="K382" s="37" t="s">
        <v>77</v>
      </c>
      <c r="L382" s="37" t="s">
        <v>77</v>
      </c>
      <c r="M382" s="37" t="s">
        <v>77</v>
      </c>
      <c r="N382" s="37" t="s">
        <v>77</v>
      </c>
      <c r="O382" s="37" t="s">
        <v>77</v>
      </c>
      <c r="P382" s="37" t="s">
        <v>77</v>
      </c>
      <c r="Q382" s="37" t="s">
        <v>1224</v>
      </c>
    </row>
    <row r="383" spans="1:17" ht="15">
      <c r="A383">
        <v>381</v>
      </c>
      <c r="B383" s="37" t="s">
        <v>1003</v>
      </c>
      <c r="C383" s="37" t="s">
        <v>1225</v>
      </c>
      <c r="D383" s="37" t="s">
        <v>1226</v>
      </c>
      <c r="E383" s="37">
        <v>3</v>
      </c>
      <c r="F383" s="37" t="s">
        <v>77</v>
      </c>
      <c r="G383" s="37" t="s">
        <v>77</v>
      </c>
      <c r="H383" s="37" t="s">
        <v>77</v>
      </c>
      <c r="I383" s="37" t="s">
        <v>77</v>
      </c>
      <c r="J383" s="37" t="s">
        <v>77</v>
      </c>
      <c r="K383" s="37" t="s">
        <v>77</v>
      </c>
      <c r="L383" s="37" t="s">
        <v>77</v>
      </c>
      <c r="M383" s="37" t="s">
        <v>77</v>
      </c>
      <c r="N383" s="37" t="s">
        <v>77</v>
      </c>
      <c r="O383" s="37" t="s">
        <v>77</v>
      </c>
      <c r="P383" s="37" t="s">
        <v>77</v>
      </c>
      <c r="Q383" s="37" t="s">
        <v>1227</v>
      </c>
    </row>
    <row r="384" spans="1:17" ht="15">
      <c r="A384">
        <v>382</v>
      </c>
      <c r="B384" s="37" t="s">
        <v>1003</v>
      </c>
      <c r="C384" s="37" t="s">
        <v>1228</v>
      </c>
      <c r="D384" s="37" t="s">
        <v>1229</v>
      </c>
      <c r="E384" s="37">
        <v>3</v>
      </c>
      <c r="F384" s="37" t="s">
        <v>77</v>
      </c>
      <c r="G384" s="37" t="s">
        <v>77</v>
      </c>
      <c r="H384" s="37" t="s">
        <v>77</v>
      </c>
      <c r="I384" s="37" t="s">
        <v>77</v>
      </c>
      <c r="J384" s="37" t="s">
        <v>77</v>
      </c>
      <c r="K384" s="37" t="s">
        <v>77</v>
      </c>
      <c r="L384" s="37" t="s">
        <v>77</v>
      </c>
      <c r="M384" s="37" t="s">
        <v>77</v>
      </c>
      <c r="N384" s="37" t="s">
        <v>77</v>
      </c>
      <c r="O384" s="37" t="s">
        <v>77</v>
      </c>
      <c r="P384" s="37" t="s">
        <v>77</v>
      </c>
      <c r="Q384" s="37" t="s">
        <v>1230</v>
      </c>
    </row>
    <row r="385" spans="1:17" ht="15">
      <c r="A385">
        <v>383</v>
      </c>
      <c r="B385" s="37" t="s">
        <v>1003</v>
      </c>
      <c r="C385" s="37" t="s">
        <v>1231</v>
      </c>
      <c r="D385" s="37" t="s">
        <v>1232</v>
      </c>
      <c r="E385" s="37">
        <v>3</v>
      </c>
      <c r="F385" s="37" t="s">
        <v>77</v>
      </c>
      <c r="G385" s="37" t="s">
        <v>77</v>
      </c>
      <c r="H385" s="37" t="s">
        <v>77</v>
      </c>
      <c r="I385" s="37" t="s">
        <v>77</v>
      </c>
      <c r="J385" s="37" t="s">
        <v>77</v>
      </c>
      <c r="K385" s="37" t="s">
        <v>77</v>
      </c>
      <c r="L385" s="37" t="s">
        <v>77</v>
      </c>
      <c r="M385" s="37" t="s">
        <v>77</v>
      </c>
      <c r="N385" s="37" t="s">
        <v>77</v>
      </c>
      <c r="O385" s="37" t="s">
        <v>77</v>
      </c>
      <c r="P385" s="37" t="s">
        <v>77</v>
      </c>
      <c r="Q385" s="37" t="s">
        <v>1233</v>
      </c>
    </row>
    <row r="386" spans="1:17" ht="15">
      <c r="A386">
        <v>384</v>
      </c>
      <c r="B386" s="37" t="s">
        <v>1003</v>
      </c>
      <c r="C386" s="37" t="s">
        <v>1234</v>
      </c>
      <c r="D386" s="37" t="s">
        <v>1235</v>
      </c>
      <c r="E386" s="37">
        <v>3</v>
      </c>
      <c r="F386" s="37" t="s">
        <v>77</v>
      </c>
      <c r="G386" s="37" t="s">
        <v>77</v>
      </c>
      <c r="H386" s="37" t="s">
        <v>77</v>
      </c>
      <c r="I386" s="37" t="s">
        <v>77</v>
      </c>
      <c r="J386" s="37" t="s">
        <v>77</v>
      </c>
      <c r="K386" s="37" t="s">
        <v>77</v>
      </c>
      <c r="L386" s="37" t="s">
        <v>77</v>
      </c>
      <c r="M386" s="37" t="s">
        <v>77</v>
      </c>
      <c r="N386" s="37" t="s">
        <v>77</v>
      </c>
      <c r="O386" s="37" t="s">
        <v>77</v>
      </c>
      <c r="P386" s="37" t="s">
        <v>77</v>
      </c>
      <c r="Q386" s="37" t="s">
        <v>1236</v>
      </c>
    </row>
    <row r="387" spans="1:17" ht="15">
      <c r="A387">
        <v>385</v>
      </c>
      <c r="B387" s="37" t="s">
        <v>1003</v>
      </c>
      <c r="C387" s="37" t="s">
        <v>1237</v>
      </c>
      <c r="D387" s="37" t="s">
        <v>1238</v>
      </c>
      <c r="E387" s="37">
        <v>3</v>
      </c>
      <c r="F387" s="37" t="s">
        <v>77</v>
      </c>
      <c r="G387" s="37" t="s">
        <v>77</v>
      </c>
      <c r="H387" s="37" t="s">
        <v>77</v>
      </c>
      <c r="I387" s="37" t="s">
        <v>77</v>
      </c>
      <c r="J387" s="37" t="s">
        <v>77</v>
      </c>
      <c r="K387" s="37" t="s">
        <v>77</v>
      </c>
      <c r="L387" s="37" t="s">
        <v>77</v>
      </c>
      <c r="M387" s="37" t="s">
        <v>77</v>
      </c>
      <c r="N387" s="37" t="s">
        <v>77</v>
      </c>
      <c r="O387" s="37" t="s">
        <v>77</v>
      </c>
      <c r="P387" s="37" t="s">
        <v>77</v>
      </c>
      <c r="Q387" s="37" t="s">
        <v>680</v>
      </c>
    </row>
    <row r="388" spans="1:17" ht="15">
      <c r="A388">
        <v>386</v>
      </c>
      <c r="B388" s="37" t="s">
        <v>1003</v>
      </c>
      <c r="C388" s="37" t="s">
        <v>1239</v>
      </c>
      <c r="D388" s="37" t="s">
        <v>1240</v>
      </c>
      <c r="E388" s="37">
        <v>3</v>
      </c>
      <c r="F388" s="37" t="s">
        <v>77</v>
      </c>
      <c r="G388" s="37" t="s">
        <v>77</v>
      </c>
      <c r="H388" s="37" t="s">
        <v>77</v>
      </c>
      <c r="I388" s="37" t="s">
        <v>77</v>
      </c>
      <c r="J388" s="37" t="s">
        <v>77</v>
      </c>
      <c r="K388" s="37" t="s">
        <v>77</v>
      </c>
      <c r="L388" s="37" t="s">
        <v>77</v>
      </c>
      <c r="M388" s="37" t="s">
        <v>77</v>
      </c>
      <c r="N388" s="37" t="s">
        <v>77</v>
      </c>
      <c r="O388" s="37" t="s">
        <v>77</v>
      </c>
      <c r="P388" s="37" t="s">
        <v>77</v>
      </c>
      <c r="Q388" s="37" t="s">
        <v>1241</v>
      </c>
    </row>
    <row r="389" spans="1:17" ht="15">
      <c r="A389">
        <v>387</v>
      </c>
      <c r="B389" s="37" t="s">
        <v>1003</v>
      </c>
      <c r="C389" s="37" t="s">
        <v>1242</v>
      </c>
      <c r="D389" s="37" t="s">
        <v>1243</v>
      </c>
      <c r="E389" s="37">
        <v>3</v>
      </c>
      <c r="F389" s="37" t="s">
        <v>77</v>
      </c>
      <c r="G389" s="37" t="s">
        <v>77</v>
      </c>
      <c r="H389" s="37" t="s">
        <v>77</v>
      </c>
      <c r="I389" s="37" t="s">
        <v>77</v>
      </c>
      <c r="J389" s="37" t="s">
        <v>77</v>
      </c>
      <c r="K389" s="37" t="s">
        <v>77</v>
      </c>
      <c r="L389" s="37" t="s">
        <v>77</v>
      </c>
      <c r="M389" s="37" t="s">
        <v>77</v>
      </c>
      <c r="N389" s="37" t="s">
        <v>77</v>
      </c>
      <c r="O389" s="37" t="s">
        <v>77</v>
      </c>
      <c r="P389" s="37" t="s">
        <v>77</v>
      </c>
      <c r="Q389" s="37" t="s">
        <v>1244</v>
      </c>
    </row>
    <row r="390" spans="1:17" ht="15">
      <c r="A390">
        <v>388</v>
      </c>
      <c r="B390" s="37" t="s">
        <v>1003</v>
      </c>
      <c r="C390" s="37" t="s">
        <v>1245</v>
      </c>
      <c r="D390" s="37" t="s">
        <v>1246</v>
      </c>
      <c r="E390" s="37">
        <v>3</v>
      </c>
      <c r="F390" s="37" t="s">
        <v>77</v>
      </c>
      <c r="G390" s="37" t="s">
        <v>77</v>
      </c>
      <c r="H390" s="37" t="s">
        <v>77</v>
      </c>
      <c r="I390" s="37" t="s">
        <v>77</v>
      </c>
      <c r="J390" s="37" t="s">
        <v>77</v>
      </c>
      <c r="K390" s="37" t="s">
        <v>77</v>
      </c>
      <c r="L390" s="37" t="s">
        <v>77</v>
      </c>
      <c r="M390" s="37" t="s">
        <v>77</v>
      </c>
      <c r="N390" s="37" t="s">
        <v>77</v>
      </c>
      <c r="O390" s="37" t="s">
        <v>77</v>
      </c>
      <c r="P390" s="37" t="s">
        <v>77</v>
      </c>
      <c r="Q390" s="37" t="s">
        <v>1247</v>
      </c>
    </row>
    <row r="391" spans="1:17" ht="15">
      <c r="A391">
        <v>389</v>
      </c>
      <c r="B391" s="37" t="s">
        <v>1003</v>
      </c>
      <c r="C391" s="37" t="s">
        <v>1248</v>
      </c>
      <c r="D391" s="37" t="s">
        <v>1249</v>
      </c>
      <c r="E391" s="37">
        <v>3</v>
      </c>
      <c r="F391" s="37" t="s">
        <v>77</v>
      </c>
      <c r="G391" s="37" t="s">
        <v>77</v>
      </c>
      <c r="H391" s="37" t="s">
        <v>77</v>
      </c>
      <c r="I391" s="37" t="s">
        <v>77</v>
      </c>
      <c r="J391" s="37" t="s">
        <v>77</v>
      </c>
      <c r="K391" s="37" t="s">
        <v>77</v>
      </c>
      <c r="L391" s="37" t="s">
        <v>77</v>
      </c>
      <c r="M391" s="37" t="s">
        <v>77</v>
      </c>
      <c r="N391" s="37" t="s">
        <v>77</v>
      </c>
      <c r="O391" s="37" t="s">
        <v>77</v>
      </c>
      <c r="P391" s="37" t="s">
        <v>77</v>
      </c>
      <c r="Q391" s="37" t="s">
        <v>1250</v>
      </c>
    </row>
    <row r="392" spans="1:17" ht="15">
      <c r="A392">
        <v>390</v>
      </c>
      <c r="B392" s="37" t="s">
        <v>1003</v>
      </c>
      <c r="C392" s="37" t="s">
        <v>1251</v>
      </c>
      <c r="D392" s="37" t="s">
        <v>1252</v>
      </c>
      <c r="E392" s="37">
        <v>3</v>
      </c>
      <c r="F392" s="37" t="s">
        <v>77</v>
      </c>
      <c r="G392" s="37" t="s">
        <v>77</v>
      </c>
      <c r="H392" s="37" t="s">
        <v>77</v>
      </c>
      <c r="I392" s="37" t="s">
        <v>77</v>
      </c>
      <c r="J392" s="37" t="s">
        <v>77</v>
      </c>
      <c r="K392" s="37" t="s">
        <v>77</v>
      </c>
      <c r="L392" s="37" t="s">
        <v>77</v>
      </c>
      <c r="M392" s="37" t="s">
        <v>77</v>
      </c>
      <c r="N392" s="37" t="s">
        <v>77</v>
      </c>
      <c r="O392" s="37" t="s">
        <v>77</v>
      </c>
      <c r="P392" s="37" t="s">
        <v>77</v>
      </c>
      <c r="Q392" s="37" t="s">
        <v>1253</v>
      </c>
    </row>
    <row r="393" spans="1:17" ht="15">
      <c r="A393">
        <v>391</v>
      </c>
      <c r="B393" s="37" t="s">
        <v>1003</v>
      </c>
      <c r="C393" s="37" t="s">
        <v>1254</v>
      </c>
      <c r="D393" s="37" t="s">
        <v>1255</v>
      </c>
      <c r="E393" s="37">
        <v>3</v>
      </c>
      <c r="F393" s="37" t="s">
        <v>77</v>
      </c>
      <c r="G393" s="37" t="s">
        <v>77</v>
      </c>
      <c r="H393" s="37" t="s">
        <v>77</v>
      </c>
      <c r="I393" s="37" t="s">
        <v>77</v>
      </c>
      <c r="J393" s="37" t="s">
        <v>77</v>
      </c>
      <c r="K393" s="37" t="s">
        <v>77</v>
      </c>
      <c r="L393" s="37" t="s">
        <v>77</v>
      </c>
      <c r="M393" s="37" t="s">
        <v>77</v>
      </c>
      <c r="N393" s="37" t="s">
        <v>77</v>
      </c>
      <c r="O393" s="37" t="s">
        <v>77</v>
      </c>
      <c r="P393" s="37" t="s">
        <v>77</v>
      </c>
      <c r="Q393" s="37" t="s">
        <v>1256</v>
      </c>
    </row>
    <row r="394" spans="1:17" ht="15">
      <c r="A394">
        <v>392</v>
      </c>
      <c r="B394" s="37" t="s">
        <v>1003</v>
      </c>
      <c r="C394" s="37" t="s">
        <v>1257</v>
      </c>
      <c r="D394" s="37" t="s">
        <v>1258</v>
      </c>
      <c r="E394" s="37">
        <v>3</v>
      </c>
      <c r="F394" s="37" t="s">
        <v>77</v>
      </c>
      <c r="G394" s="37" t="s">
        <v>77</v>
      </c>
      <c r="H394" s="37" t="s">
        <v>77</v>
      </c>
      <c r="I394" s="37" t="s">
        <v>77</v>
      </c>
      <c r="J394" s="37" t="s">
        <v>77</v>
      </c>
      <c r="K394" s="37" t="s">
        <v>77</v>
      </c>
      <c r="L394" s="37" t="s">
        <v>77</v>
      </c>
      <c r="M394" s="37" t="s">
        <v>77</v>
      </c>
      <c r="N394" s="37" t="s">
        <v>77</v>
      </c>
      <c r="O394" s="37" t="s">
        <v>77</v>
      </c>
      <c r="P394" s="37" t="s">
        <v>77</v>
      </c>
      <c r="Q394" s="37" t="s">
        <v>1259</v>
      </c>
    </row>
    <row r="395" spans="1:17" ht="15">
      <c r="A395">
        <v>393</v>
      </c>
      <c r="B395" s="37" t="s">
        <v>1003</v>
      </c>
      <c r="C395" s="37" t="s">
        <v>1260</v>
      </c>
      <c r="D395" s="37" t="s">
        <v>1261</v>
      </c>
      <c r="E395" s="37">
        <v>3</v>
      </c>
      <c r="F395" s="37" t="s">
        <v>77</v>
      </c>
      <c r="G395" s="37" t="s">
        <v>77</v>
      </c>
      <c r="H395" s="37" t="s">
        <v>77</v>
      </c>
      <c r="I395" s="37" t="s">
        <v>77</v>
      </c>
      <c r="J395" s="37" t="s">
        <v>77</v>
      </c>
      <c r="K395" s="37" t="s">
        <v>77</v>
      </c>
      <c r="L395" s="37" t="s">
        <v>77</v>
      </c>
      <c r="M395" s="37" t="s">
        <v>77</v>
      </c>
      <c r="N395" s="37" t="s">
        <v>77</v>
      </c>
      <c r="O395" s="37" t="s">
        <v>77</v>
      </c>
      <c r="P395" s="37" t="s">
        <v>77</v>
      </c>
      <c r="Q395" s="37" t="s">
        <v>1262</v>
      </c>
    </row>
    <row r="396" spans="1:17" ht="15">
      <c r="A396">
        <v>394</v>
      </c>
      <c r="B396" s="37" t="s">
        <v>1003</v>
      </c>
      <c r="C396" s="37" t="s">
        <v>1263</v>
      </c>
      <c r="D396" s="37" t="s">
        <v>1264</v>
      </c>
      <c r="E396" s="37">
        <v>3</v>
      </c>
      <c r="F396" s="37" t="s">
        <v>77</v>
      </c>
      <c r="G396" s="37" t="s">
        <v>77</v>
      </c>
      <c r="H396" s="37" t="s">
        <v>77</v>
      </c>
      <c r="I396" s="37" t="s">
        <v>77</v>
      </c>
      <c r="J396" s="37" t="s">
        <v>77</v>
      </c>
      <c r="K396" s="37" t="s">
        <v>77</v>
      </c>
      <c r="L396" s="37" t="s">
        <v>77</v>
      </c>
      <c r="M396" s="37" t="s">
        <v>77</v>
      </c>
      <c r="N396" s="37" t="s">
        <v>77</v>
      </c>
      <c r="O396" s="37" t="s">
        <v>77</v>
      </c>
      <c r="P396" s="37" t="s">
        <v>77</v>
      </c>
      <c r="Q396" s="37" t="s">
        <v>1265</v>
      </c>
    </row>
    <row r="397" spans="1:17" ht="15">
      <c r="A397">
        <v>395</v>
      </c>
      <c r="B397" s="37" t="s">
        <v>1003</v>
      </c>
      <c r="C397" s="37" t="s">
        <v>1266</v>
      </c>
      <c r="D397" s="37" t="s">
        <v>1267</v>
      </c>
      <c r="E397" s="37">
        <v>3</v>
      </c>
      <c r="F397" s="37" t="s">
        <v>77</v>
      </c>
      <c r="G397" s="37" t="s">
        <v>77</v>
      </c>
      <c r="H397" s="37" t="s">
        <v>77</v>
      </c>
      <c r="I397" s="37" t="s">
        <v>77</v>
      </c>
      <c r="J397" s="37" t="s">
        <v>77</v>
      </c>
      <c r="K397" s="37" t="s">
        <v>77</v>
      </c>
      <c r="L397" s="37" t="s">
        <v>77</v>
      </c>
      <c r="M397" s="37" t="s">
        <v>77</v>
      </c>
      <c r="N397" s="37" t="s">
        <v>77</v>
      </c>
      <c r="O397" s="37" t="s">
        <v>77</v>
      </c>
      <c r="P397" s="37" t="s">
        <v>77</v>
      </c>
      <c r="Q397" s="37" t="s">
        <v>1268</v>
      </c>
    </row>
    <row r="398" spans="1:17" ht="15">
      <c r="A398">
        <v>396</v>
      </c>
      <c r="B398" s="37" t="s">
        <v>1003</v>
      </c>
      <c r="C398" s="37" t="s">
        <v>1269</v>
      </c>
      <c r="D398" s="37" t="s">
        <v>1270</v>
      </c>
      <c r="E398" s="37">
        <v>3</v>
      </c>
      <c r="F398" s="37" t="s">
        <v>77</v>
      </c>
      <c r="G398" s="37" t="s">
        <v>77</v>
      </c>
      <c r="H398" s="37" t="s">
        <v>77</v>
      </c>
      <c r="I398" s="37" t="s">
        <v>77</v>
      </c>
      <c r="J398" s="37" t="s">
        <v>77</v>
      </c>
      <c r="K398" s="37" t="s">
        <v>77</v>
      </c>
      <c r="L398" s="37" t="s">
        <v>77</v>
      </c>
      <c r="M398" s="37" t="s">
        <v>77</v>
      </c>
      <c r="N398" s="37" t="s">
        <v>77</v>
      </c>
      <c r="O398" s="37" t="s">
        <v>77</v>
      </c>
      <c r="P398" s="37" t="s">
        <v>77</v>
      </c>
      <c r="Q398" s="37" t="s">
        <v>1271</v>
      </c>
    </row>
    <row r="399" spans="1:17" ht="15">
      <c r="A399">
        <v>397</v>
      </c>
      <c r="B399" s="37" t="s">
        <v>1003</v>
      </c>
      <c r="C399" s="37" t="s">
        <v>1272</v>
      </c>
      <c r="D399" s="37" t="s">
        <v>1273</v>
      </c>
      <c r="E399" s="37">
        <v>3</v>
      </c>
      <c r="F399" s="37" t="s">
        <v>77</v>
      </c>
      <c r="G399" s="37" t="s">
        <v>77</v>
      </c>
      <c r="H399" s="37" t="s">
        <v>77</v>
      </c>
      <c r="I399" s="37" t="s">
        <v>77</v>
      </c>
      <c r="J399" s="37" t="s">
        <v>77</v>
      </c>
      <c r="K399" s="37" t="s">
        <v>77</v>
      </c>
      <c r="L399" s="37" t="s">
        <v>77</v>
      </c>
      <c r="M399" s="37" t="s">
        <v>77</v>
      </c>
      <c r="N399" s="37" t="s">
        <v>77</v>
      </c>
      <c r="O399" s="37" t="s">
        <v>77</v>
      </c>
      <c r="P399" s="37" t="s">
        <v>77</v>
      </c>
      <c r="Q399" s="37" t="s">
        <v>1274</v>
      </c>
    </row>
    <row r="400" spans="1:17" ht="15">
      <c r="A400">
        <v>398</v>
      </c>
      <c r="B400" s="37" t="s">
        <v>1003</v>
      </c>
      <c r="C400" s="37" t="s">
        <v>1275</v>
      </c>
      <c r="D400" s="37" t="s">
        <v>1276</v>
      </c>
      <c r="E400" s="37">
        <v>3</v>
      </c>
      <c r="F400" s="37" t="s">
        <v>77</v>
      </c>
      <c r="G400" s="37" t="s">
        <v>77</v>
      </c>
      <c r="H400" s="37" t="s">
        <v>77</v>
      </c>
      <c r="I400" s="37" t="s">
        <v>77</v>
      </c>
      <c r="J400" s="37" t="s">
        <v>77</v>
      </c>
      <c r="K400" s="37" t="s">
        <v>77</v>
      </c>
      <c r="L400" s="37" t="s">
        <v>77</v>
      </c>
      <c r="M400" s="37" t="s">
        <v>77</v>
      </c>
      <c r="N400" s="37" t="s">
        <v>77</v>
      </c>
      <c r="O400" s="37" t="s">
        <v>77</v>
      </c>
      <c r="P400" s="37" t="s">
        <v>77</v>
      </c>
      <c r="Q400" s="37" t="s">
        <v>1277</v>
      </c>
    </row>
    <row r="401" spans="1:17" ht="15">
      <c r="A401">
        <v>399</v>
      </c>
      <c r="B401" s="37" t="s">
        <v>1003</v>
      </c>
      <c r="C401" s="37" t="s">
        <v>1278</v>
      </c>
      <c r="D401" s="37" t="s">
        <v>1279</v>
      </c>
      <c r="E401" s="37">
        <v>3</v>
      </c>
      <c r="F401" s="37" t="s">
        <v>77</v>
      </c>
      <c r="G401" s="37" t="s">
        <v>77</v>
      </c>
      <c r="H401" s="37" t="s">
        <v>77</v>
      </c>
      <c r="I401" s="37" t="s">
        <v>77</v>
      </c>
      <c r="J401" s="37" t="s">
        <v>77</v>
      </c>
      <c r="K401" s="37" t="s">
        <v>77</v>
      </c>
      <c r="L401" s="37" t="s">
        <v>77</v>
      </c>
      <c r="M401" s="37" t="s">
        <v>77</v>
      </c>
      <c r="N401" s="37" t="s">
        <v>77</v>
      </c>
      <c r="O401" s="37" t="s">
        <v>77</v>
      </c>
      <c r="P401" s="37" t="s">
        <v>77</v>
      </c>
      <c r="Q401" s="37" t="s">
        <v>1280</v>
      </c>
    </row>
    <row r="402" spans="1:17" ht="15">
      <c r="A402">
        <v>400</v>
      </c>
      <c r="B402" s="37" t="s">
        <v>1281</v>
      </c>
      <c r="C402" s="37" t="s">
        <v>1282</v>
      </c>
      <c r="D402" s="37" t="s">
        <v>1283</v>
      </c>
      <c r="E402" s="37">
        <v>1</v>
      </c>
      <c r="F402" s="37" t="s">
        <v>77</v>
      </c>
      <c r="G402" s="37" t="s">
        <v>77</v>
      </c>
      <c r="H402" s="37" t="s">
        <v>77</v>
      </c>
      <c r="I402" s="37" t="s">
        <v>77</v>
      </c>
      <c r="J402" s="37" t="s">
        <v>77</v>
      </c>
      <c r="K402" s="37" t="s">
        <v>77</v>
      </c>
      <c r="L402" s="37" t="s">
        <v>77</v>
      </c>
      <c r="M402" s="37" t="s">
        <v>77</v>
      </c>
      <c r="N402" s="37" t="s">
        <v>77</v>
      </c>
      <c r="O402" s="37" t="s">
        <v>77</v>
      </c>
      <c r="P402" s="37" t="s">
        <v>77</v>
      </c>
      <c r="Q402" s="37" t="s">
        <v>1284</v>
      </c>
    </row>
    <row r="403" spans="1:17" ht="15">
      <c r="A403">
        <v>401</v>
      </c>
      <c r="B403" s="37" t="s">
        <v>1281</v>
      </c>
      <c r="C403" s="37" t="s">
        <v>1285</v>
      </c>
      <c r="D403" s="37" t="s">
        <v>1286</v>
      </c>
      <c r="E403" s="37">
        <v>3</v>
      </c>
      <c r="F403" s="37" t="s">
        <v>77</v>
      </c>
      <c r="G403" s="37" t="s">
        <v>77</v>
      </c>
      <c r="H403" s="37" t="s">
        <v>77</v>
      </c>
      <c r="I403" s="37" t="s">
        <v>77</v>
      </c>
      <c r="J403" s="37" t="s">
        <v>77</v>
      </c>
      <c r="K403" s="37" t="s">
        <v>77</v>
      </c>
      <c r="L403" s="37" t="s">
        <v>77</v>
      </c>
      <c r="M403" s="37" t="s">
        <v>77</v>
      </c>
      <c r="N403" s="37" t="s">
        <v>77</v>
      </c>
      <c r="O403" s="37" t="s">
        <v>77</v>
      </c>
      <c r="P403" s="37" t="s">
        <v>77</v>
      </c>
      <c r="Q403" s="37" t="s">
        <v>1287</v>
      </c>
    </row>
    <row r="404" spans="1:17" ht="15">
      <c r="A404">
        <v>402</v>
      </c>
      <c r="B404" s="37" t="s">
        <v>1281</v>
      </c>
      <c r="C404" s="37" t="s">
        <v>1288</v>
      </c>
      <c r="D404" s="37" t="s">
        <v>1289</v>
      </c>
      <c r="E404" s="37">
        <v>3</v>
      </c>
      <c r="F404" s="37" t="s">
        <v>77</v>
      </c>
      <c r="G404" s="37" t="s">
        <v>77</v>
      </c>
      <c r="H404" s="37" t="s">
        <v>77</v>
      </c>
      <c r="I404" s="37" t="s">
        <v>77</v>
      </c>
      <c r="J404" s="37" t="s">
        <v>77</v>
      </c>
      <c r="K404" s="37" t="s">
        <v>77</v>
      </c>
      <c r="L404" s="37" t="s">
        <v>77</v>
      </c>
      <c r="M404" s="37" t="s">
        <v>77</v>
      </c>
      <c r="N404" s="37" t="s">
        <v>77</v>
      </c>
      <c r="O404" s="37" t="s">
        <v>77</v>
      </c>
      <c r="P404" s="37" t="s">
        <v>77</v>
      </c>
      <c r="Q404" s="37" t="s">
        <v>1290</v>
      </c>
    </row>
    <row r="405" spans="1:17" ht="15">
      <c r="A405">
        <v>403</v>
      </c>
      <c r="B405" s="37" t="s">
        <v>1281</v>
      </c>
      <c r="C405" s="37" t="s">
        <v>1291</v>
      </c>
      <c r="D405" s="37" t="s">
        <v>1292</v>
      </c>
      <c r="E405" s="37">
        <v>3</v>
      </c>
      <c r="F405" s="37" t="s">
        <v>77</v>
      </c>
      <c r="G405" s="37" t="s">
        <v>77</v>
      </c>
      <c r="H405" s="37" t="s">
        <v>77</v>
      </c>
      <c r="I405" s="37" t="s">
        <v>77</v>
      </c>
      <c r="J405" s="37" t="s">
        <v>77</v>
      </c>
      <c r="K405" s="37" t="s">
        <v>77</v>
      </c>
      <c r="L405" s="37" t="s">
        <v>77</v>
      </c>
      <c r="M405" s="37" t="s">
        <v>77</v>
      </c>
      <c r="N405" s="37" t="s">
        <v>77</v>
      </c>
      <c r="O405" s="37" t="s">
        <v>77</v>
      </c>
      <c r="P405" s="37" t="s">
        <v>77</v>
      </c>
      <c r="Q405" s="37" t="s">
        <v>1293</v>
      </c>
    </row>
    <row r="406" spans="1:17" ht="15">
      <c r="A406">
        <v>404</v>
      </c>
      <c r="B406" s="37" t="s">
        <v>1281</v>
      </c>
      <c r="C406" s="37" t="s">
        <v>1294</v>
      </c>
      <c r="D406" s="37" t="s">
        <v>1295</v>
      </c>
      <c r="E406" s="37">
        <v>3</v>
      </c>
      <c r="F406" s="37" t="s">
        <v>77</v>
      </c>
      <c r="G406" s="37" t="s">
        <v>77</v>
      </c>
      <c r="H406" s="37" t="s">
        <v>77</v>
      </c>
      <c r="I406" s="37" t="s">
        <v>77</v>
      </c>
      <c r="J406" s="37" t="s">
        <v>77</v>
      </c>
      <c r="K406" s="37" t="s">
        <v>77</v>
      </c>
      <c r="L406" s="37" t="s">
        <v>77</v>
      </c>
      <c r="M406" s="37" t="s">
        <v>77</v>
      </c>
      <c r="N406" s="37" t="s">
        <v>77</v>
      </c>
      <c r="O406" s="37" t="s">
        <v>77</v>
      </c>
      <c r="P406" s="37" t="s">
        <v>77</v>
      </c>
      <c r="Q406" s="37" t="s">
        <v>1296</v>
      </c>
    </row>
    <row r="407" spans="1:17" ht="15">
      <c r="A407">
        <v>405</v>
      </c>
      <c r="B407" s="37" t="s">
        <v>1281</v>
      </c>
      <c r="C407" s="37" t="s">
        <v>1297</v>
      </c>
      <c r="D407" s="37" t="s">
        <v>1298</v>
      </c>
      <c r="E407" s="37">
        <v>3</v>
      </c>
      <c r="F407" s="37" t="s">
        <v>77</v>
      </c>
      <c r="G407" s="37" t="s">
        <v>77</v>
      </c>
      <c r="H407" s="37" t="s">
        <v>77</v>
      </c>
      <c r="I407" s="37" t="s">
        <v>77</v>
      </c>
      <c r="J407" s="37" t="s">
        <v>77</v>
      </c>
      <c r="K407" s="37" t="s">
        <v>77</v>
      </c>
      <c r="L407" s="37" t="s">
        <v>77</v>
      </c>
      <c r="M407" s="37" t="s">
        <v>77</v>
      </c>
      <c r="N407" s="37" t="s">
        <v>77</v>
      </c>
      <c r="O407" s="37" t="s">
        <v>77</v>
      </c>
      <c r="P407" s="37" t="s">
        <v>77</v>
      </c>
      <c r="Q407" s="37" t="s">
        <v>1299</v>
      </c>
    </row>
    <row r="408" spans="1:17" ht="15">
      <c r="A408">
        <v>406</v>
      </c>
      <c r="B408" s="37" t="s">
        <v>1281</v>
      </c>
      <c r="C408" s="37" t="s">
        <v>1300</v>
      </c>
      <c r="D408" s="37" t="s">
        <v>1301</v>
      </c>
      <c r="E408" s="37">
        <v>3</v>
      </c>
      <c r="F408" s="37" t="s">
        <v>77</v>
      </c>
      <c r="G408" s="37" t="s">
        <v>77</v>
      </c>
      <c r="H408" s="37" t="s">
        <v>77</v>
      </c>
      <c r="I408" s="37" t="s">
        <v>77</v>
      </c>
      <c r="J408" s="37" t="s">
        <v>77</v>
      </c>
      <c r="K408" s="37" t="s">
        <v>77</v>
      </c>
      <c r="L408" s="37" t="s">
        <v>77</v>
      </c>
      <c r="M408" s="37" t="s">
        <v>77</v>
      </c>
      <c r="N408" s="37" t="s">
        <v>77</v>
      </c>
      <c r="O408" s="37" t="s">
        <v>77</v>
      </c>
      <c r="P408" s="37" t="s">
        <v>77</v>
      </c>
      <c r="Q408" s="37" t="s">
        <v>1302</v>
      </c>
    </row>
    <row r="409" spans="1:17" ht="15">
      <c r="A409">
        <v>407</v>
      </c>
      <c r="B409" s="37" t="s">
        <v>1281</v>
      </c>
      <c r="C409" s="37" t="s">
        <v>1303</v>
      </c>
      <c r="D409" s="37" t="s">
        <v>1029</v>
      </c>
      <c r="E409" s="37">
        <v>3</v>
      </c>
      <c r="F409" s="37" t="s">
        <v>77</v>
      </c>
      <c r="G409" s="37" t="s">
        <v>77</v>
      </c>
      <c r="H409" s="37" t="s">
        <v>77</v>
      </c>
      <c r="I409" s="37" t="s">
        <v>77</v>
      </c>
      <c r="J409" s="37" t="s">
        <v>77</v>
      </c>
      <c r="K409" s="37" t="s">
        <v>77</v>
      </c>
      <c r="L409" s="37" t="s">
        <v>77</v>
      </c>
      <c r="M409" s="37" t="s">
        <v>77</v>
      </c>
      <c r="N409" s="37" t="s">
        <v>77</v>
      </c>
      <c r="O409" s="37" t="s">
        <v>77</v>
      </c>
      <c r="P409" s="37" t="s">
        <v>77</v>
      </c>
      <c r="Q409" s="37" t="s">
        <v>1304</v>
      </c>
    </row>
    <row r="410" spans="1:17" ht="15">
      <c r="A410">
        <v>408</v>
      </c>
      <c r="B410" s="37" t="s">
        <v>1281</v>
      </c>
      <c r="C410" s="37" t="s">
        <v>1305</v>
      </c>
      <c r="D410" s="37" t="s">
        <v>1085</v>
      </c>
      <c r="E410" s="37">
        <v>3</v>
      </c>
      <c r="F410" s="37" t="s">
        <v>77</v>
      </c>
      <c r="G410" s="37" t="s">
        <v>77</v>
      </c>
      <c r="H410" s="37" t="s">
        <v>77</v>
      </c>
      <c r="I410" s="37" t="s">
        <v>77</v>
      </c>
      <c r="J410" s="37" t="s">
        <v>77</v>
      </c>
      <c r="K410" s="37" t="s">
        <v>77</v>
      </c>
      <c r="L410" s="37" t="s">
        <v>77</v>
      </c>
      <c r="M410" s="37" t="s">
        <v>77</v>
      </c>
      <c r="N410" s="37" t="s">
        <v>77</v>
      </c>
      <c r="O410" s="37" t="s">
        <v>77</v>
      </c>
      <c r="P410" s="37" t="s">
        <v>77</v>
      </c>
      <c r="Q410" s="37" t="s">
        <v>1306</v>
      </c>
    </row>
    <row r="411" spans="1:17" ht="15">
      <c r="A411">
        <v>409</v>
      </c>
      <c r="B411" s="37" t="s">
        <v>1281</v>
      </c>
      <c r="C411" s="37" t="s">
        <v>1307</v>
      </c>
      <c r="D411" s="37" t="s">
        <v>1308</v>
      </c>
      <c r="E411" s="37">
        <v>3</v>
      </c>
      <c r="F411" s="37" t="s">
        <v>77</v>
      </c>
      <c r="G411" s="37" t="s">
        <v>77</v>
      </c>
      <c r="H411" s="37" t="s">
        <v>77</v>
      </c>
      <c r="I411" s="37" t="s">
        <v>77</v>
      </c>
      <c r="J411" s="37" t="s">
        <v>77</v>
      </c>
      <c r="K411" s="37" t="s">
        <v>77</v>
      </c>
      <c r="L411" s="37" t="s">
        <v>77</v>
      </c>
      <c r="M411" s="37" t="s">
        <v>77</v>
      </c>
      <c r="N411" s="37" t="s">
        <v>77</v>
      </c>
      <c r="O411" s="37" t="s">
        <v>77</v>
      </c>
      <c r="P411" s="37" t="s">
        <v>77</v>
      </c>
      <c r="Q411" s="37" t="s">
        <v>1309</v>
      </c>
    </row>
    <row r="412" spans="1:17" ht="15">
      <c r="A412">
        <v>410</v>
      </c>
      <c r="B412" s="37" t="s">
        <v>1281</v>
      </c>
      <c r="C412" s="37" t="s">
        <v>1310</v>
      </c>
      <c r="D412" s="37" t="s">
        <v>1311</v>
      </c>
      <c r="E412" s="37">
        <v>3</v>
      </c>
      <c r="F412" s="37" t="s">
        <v>77</v>
      </c>
      <c r="G412" s="37" t="s">
        <v>77</v>
      </c>
      <c r="H412" s="37" t="s">
        <v>77</v>
      </c>
      <c r="I412" s="37" t="s">
        <v>77</v>
      </c>
      <c r="J412" s="37" t="s">
        <v>77</v>
      </c>
      <c r="K412" s="37" t="s">
        <v>77</v>
      </c>
      <c r="L412" s="37" t="s">
        <v>77</v>
      </c>
      <c r="M412" s="37" t="s">
        <v>77</v>
      </c>
      <c r="N412" s="37" t="s">
        <v>77</v>
      </c>
      <c r="O412" s="37" t="s">
        <v>77</v>
      </c>
      <c r="P412" s="37" t="s">
        <v>77</v>
      </c>
      <c r="Q412" s="37" t="s">
        <v>1312</v>
      </c>
    </row>
    <row r="413" spans="1:17" ht="15">
      <c r="A413">
        <v>411</v>
      </c>
      <c r="B413" s="37" t="s">
        <v>1281</v>
      </c>
      <c r="C413" s="37" t="s">
        <v>1313</v>
      </c>
      <c r="D413" s="37" t="s">
        <v>1314</v>
      </c>
      <c r="E413" s="37">
        <v>3</v>
      </c>
      <c r="F413" s="37" t="s">
        <v>77</v>
      </c>
      <c r="G413" s="37" t="s">
        <v>77</v>
      </c>
      <c r="H413" s="37" t="s">
        <v>77</v>
      </c>
      <c r="I413" s="37" t="s">
        <v>77</v>
      </c>
      <c r="J413" s="37" t="s">
        <v>77</v>
      </c>
      <c r="K413" s="37" t="s">
        <v>77</v>
      </c>
      <c r="L413" s="37" t="s">
        <v>77</v>
      </c>
      <c r="M413" s="37" t="s">
        <v>77</v>
      </c>
      <c r="N413" s="37" t="s">
        <v>77</v>
      </c>
      <c r="O413" s="37" t="s">
        <v>77</v>
      </c>
      <c r="P413" s="37" t="s">
        <v>77</v>
      </c>
      <c r="Q413" s="37" t="s">
        <v>1315</v>
      </c>
    </row>
    <row r="414" spans="1:17" ht="15">
      <c r="A414">
        <v>412</v>
      </c>
      <c r="B414" s="37" t="s">
        <v>1281</v>
      </c>
      <c r="C414" s="37" t="s">
        <v>1316</v>
      </c>
      <c r="D414" s="37" t="s">
        <v>1317</v>
      </c>
      <c r="E414" s="37">
        <v>3</v>
      </c>
      <c r="F414" s="37" t="s">
        <v>77</v>
      </c>
      <c r="G414" s="37" t="s">
        <v>77</v>
      </c>
      <c r="H414" s="37" t="s">
        <v>77</v>
      </c>
      <c r="I414" s="37" t="s">
        <v>77</v>
      </c>
      <c r="J414" s="37" t="s">
        <v>77</v>
      </c>
      <c r="K414" s="37" t="s">
        <v>77</v>
      </c>
      <c r="L414" s="37" t="s">
        <v>77</v>
      </c>
      <c r="M414" s="37" t="s">
        <v>77</v>
      </c>
      <c r="N414" s="37" t="s">
        <v>77</v>
      </c>
      <c r="O414" s="37" t="s">
        <v>77</v>
      </c>
      <c r="P414" s="37" t="s">
        <v>77</v>
      </c>
      <c r="Q414" s="37" t="s">
        <v>1318</v>
      </c>
    </row>
    <row r="415" spans="1:17" ht="15">
      <c r="A415">
        <v>413</v>
      </c>
      <c r="B415" s="37" t="s">
        <v>1281</v>
      </c>
      <c r="C415" s="37" t="s">
        <v>1319</v>
      </c>
      <c r="D415" s="37" t="s">
        <v>1320</v>
      </c>
      <c r="E415" s="37">
        <v>3</v>
      </c>
      <c r="F415" s="37" t="s">
        <v>77</v>
      </c>
      <c r="G415" s="37" t="s">
        <v>77</v>
      </c>
      <c r="H415" s="37" t="s">
        <v>77</v>
      </c>
      <c r="I415" s="37" t="s">
        <v>77</v>
      </c>
      <c r="J415" s="37" t="s">
        <v>77</v>
      </c>
      <c r="K415" s="37" t="s">
        <v>77</v>
      </c>
      <c r="L415" s="37" t="s">
        <v>77</v>
      </c>
      <c r="M415" s="37" t="s">
        <v>77</v>
      </c>
      <c r="N415" s="37" t="s">
        <v>77</v>
      </c>
      <c r="O415" s="37" t="s">
        <v>77</v>
      </c>
      <c r="P415" s="37" t="s">
        <v>77</v>
      </c>
      <c r="Q415" s="37" t="s">
        <v>1321</v>
      </c>
    </row>
    <row r="416" spans="1:17" ht="15">
      <c r="A416">
        <v>414</v>
      </c>
      <c r="B416" s="37" t="s">
        <v>1281</v>
      </c>
      <c r="C416" s="37" t="s">
        <v>1322</v>
      </c>
      <c r="D416" s="37" t="s">
        <v>1323</v>
      </c>
      <c r="E416" s="37">
        <v>3</v>
      </c>
      <c r="F416" s="37" t="s">
        <v>77</v>
      </c>
      <c r="G416" s="37" t="s">
        <v>77</v>
      </c>
      <c r="H416" s="37" t="s">
        <v>77</v>
      </c>
      <c r="I416" s="37" t="s">
        <v>77</v>
      </c>
      <c r="J416" s="37" t="s">
        <v>77</v>
      </c>
      <c r="K416" s="37" t="s">
        <v>77</v>
      </c>
      <c r="L416" s="37" t="s">
        <v>77</v>
      </c>
      <c r="M416" s="37" t="s">
        <v>77</v>
      </c>
      <c r="N416" s="37" t="s">
        <v>77</v>
      </c>
      <c r="O416" s="37" t="s">
        <v>77</v>
      </c>
      <c r="P416" s="37" t="s">
        <v>77</v>
      </c>
      <c r="Q416" s="37" t="s">
        <v>1324</v>
      </c>
    </row>
    <row r="417" spans="1:17" ht="15">
      <c r="A417">
        <v>415</v>
      </c>
      <c r="B417" s="37" t="s">
        <v>1281</v>
      </c>
      <c r="C417" s="37" t="s">
        <v>1325</v>
      </c>
      <c r="D417" s="37" t="s">
        <v>1326</v>
      </c>
      <c r="E417" s="37">
        <v>3</v>
      </c>
      <c r="F417" s="37" t="s">
        <v>77</v>
      </c>
      <c r="G417" s="37" t="s">
        <v>77</v>
      </c>
      <c r="H417" s="37" t="s">
        <v>77</v>
      </c>
      <c r="I417" s="37" t="s">
        <v>77</v>
      </c>
      <c r="J417" s="37" t="s">
        <v>77</v>
      </c>
      <c r="K417" s="37" t="s">
        <v>77</v>
      </c>
      <c r="L417" s="37" t="s">
        <v>77</v>
      </c>
      <c r="M417" s="37" t="s">
        <v>77</v>
      </c>
      <c r="N417" s="37" t="s">
        <v>77</v>
      </c>
      <c r="O417" s="37" t="s">
        <v>77</v>
      </c>
      <c r="P417" s="37" t="s">
        <v>77</v>
      </c>
      <c r="Q417" s="37" t="s">
        <v>1327</v>
      </c>
    </row>
    <row r="418" spans="1:17" ht="15">
      <c r="A418">
        <v>416</v>
      </c>
      <c r="B418" s="37" t="s">
        <v>1281</v>
      </c>
      <c r="C418" s="37" t="s">
        <v>1328</v>
      </c>
      <c r="D418" s="37" t="s">
        <v>1329</v>
      </c>
      <c r="E418" s="37">
        <v>3</v>
      </c>
      <c r="F418" s="37" t="s">
        <v>77</v>
      </c>
      <c r="G418" s="37" t="s">
        <v>77</v>
      </c>
      <c r="H418" s="37" t="s">
        <v>77</v>
      </c>
      <c r="I418" s="37" t="s">
        <v>77</v>
      </c>
      <c r="J418" s="37" t="s">
        <v>77</v>
      </c>
      <c r="K418" s="37" t="s">
        <v>77</v>
      </c>
      <c r="L418" s="37" t="s">
        <v>77</v>
      </c>
      <c r="M418" s="37" t="s">
        <v>77</v>
      </c>
      <c r="N418" s="37" t="s">
        <v>77</v>
      </c>
      <c r="O418" s="37" t="s">
        <v>77</v>
      </c>
      <c r="P418" s="37" t="s">
        <v>77</v>
      </c>
      <c r="Q418" s="37" t="s">
        <v>1330</v>
      </c>
    </row>
    <row r="419" spans="1:17" ht="15">
      <c r="A419">
        <v>417</v>
      </c>
      <c r="B419" s="37" t="s">
        <v>1281</v>
      </c>
      <c r="C419" s="37" t="s">
        <v>1331</v>
      </c>
      <c r="D419" s="37" t="s">
        <v>1332</v>
      </c>
      <c r="E419" s="37">
        <v>3</v>
      </c>
      <c r="F419" s="37" t="s">
        <v>77</v>
      </c>
      <c r="G419" s="37" t="s">
        <v>77</v>
      </c>
      <c r="H419" s="37" t="s">
        <v>77</v>
      </c>
      <c r="I419" s="37" t="s">
        <v>77</v>
      </c>
      <c r="J419" s="37" t="s">
        <v>77</v>
      </c>
      <c r="K419" s="37" t="s">
        <v>77</v>
      </c>
      <c r="L419" s="37" t="s">
        <v>77</v>
      </c>
      <c r="M419" s="37" t="s">
        <v>77</v>
      </c>
      <c r="N419" s="37" t="s">
        <v>77</v>
      </c>
      <c r="O419" s="37" t="s">
        <v>77</v>
      </c>
      <c r="P419" s="37" t="s">
        <v>77</v>
      </c>
      <c r="Q419" s="37" t="s">
        <v>1333</v>
      </c>
    </row>
    <row r="420" spans="1:17" ht="15">
      <c r="A420">
        <v>418</v>
      </c>
      <c r="B420" s="37" t="s">
        <v>1281</v>
      </c>
      <c r="C420" s="37" t="s">
        <v>1334</v>
      </c>
      <c r="D420" s="37" t="s">
        <v>1073</v>
      </c>
      <c r="E420" s="37">
        <v>3</v>
      </c>
      <c r="F420" s="37" t="s">
        <v>77</v>
      </c>
      <c r="G420" s="37" t="s">
        <v>77</v>
      </c>
      <c r="H420" s="37" t="s">
        <v>77</v>
      </c>
      <c r="I420" s="37" t="s">
        <v>77</v>
      </c>
      <c r="J420" s="37" t="s">
        <v>77</v>
      </c>
      <c r="K420" s="37" t="s">
        <v>77</v>
      </c>
      <c r="L420" s="37" t="s">
        <v>77</v>
      </c>
      <c r="M420" s="37" t="s">
        <v>77</v>
      </c>
      <c r="N420" s="37" t="s">
        <v>77</v>
      </c>
      <c r="O420" s="37" t="s">
        <v>77</v>
      </c>
      <c r="P420" s="37" t="s">
        <v>77</v>
      </c>
      <c r="Q420" s="37" t="s">
        <v>1335</v>
      </c>
    </row>
    <row r="421" spans="1:17" ht="15">
      <c r="A421">
        <v>419</v>
      </c>
      <c r="B421" s="37" t="s">
        <v>1281</v>
      </c>
      <c r="C421" s="37" t="s">
        <v>1336</v>
      </c>
      <c r="D421" s="37" t="s">
        <v>1337</v>
      </c>
      <c r="E421" s="37">
        <v>3</v>
      </c>
      <c r="F421" s="37" t="s">
        <v>77</v>
      </c>
      <c r="G421" s="37" t="s">
        <v>77</v>
      </c>
      <c r="H421" s="37" t="s">
        <v>77</v>
      </c>
      <c r="I421" s="37" t="s">
        <v>77</v>
      </c>
      <c r="J421" s="37" t="s">
        <v>77</v>
      </c>
      <c r="K421" s="37" t="s">
        <v>77</v>
      </c>
      <c r="L421" s="37" t="s">
        <v>77</v>
      </c>
      <c r="M421" s="37" t="s">
        <v>77</v>
      </c>
      <c r="N421" s="37" t="s">
        <v>77</v>
      </c>
      <c r="O421" s="37" t="s">
        <v>77</v>
      </c>
      <c r="P421" s="37" t="s">
        <v>77</v>
      </c>
      <c r="Q421" s="37" t="s">
        <v>1338</v>
      </c>
    </row>
    <row r="422" spans="1:17" ht="15">
      <c r="A422">
        <v>420</v>
      </c>
      <c r="B422" s="37" t="s">
        <v>1281</v>
      </c>
      <c r="C422" s="37" t="s">
        <v>1339</v>
      </c>
      <c r="D422" s="37" t="s">
        <v>1340</v>
      </c>
      <c r="E422" s="37">
        <v>3</v>
      </c>
      <c r="F422" s="37" t="s">
        <v>77</v>
      </c>
      <c r="G422" s="37" t="s">
        <v>77</v>
      </c>
      <c r="H422" s="37" t="s">
        <v>77</v>
      </c>
      <c r="I422" s="37" t="s">
        <v>77</v>
      </c>
      <c r="J422" s="37" t="s">
        <v>77</v>
      </c>
      <c r="K422" s="37" t="s">
        <v>77</v>
      </c>
      <c r="L422" s="37" t="s">
        <v>77</v>
      </c>
      <c r="M422" s="37" t="s">
        <v>77</v>
      </c>
      <c r="N422" s="37" t="s">
        <v>77</v>
      </c>
      <c r="O422" s="37" t="s">
        <v>77</v>
      </c>
      <c r="P422" s="37" t="s">
        <v>77</v>
      </c>
      <c r="Q422" s="37" t="s">
        <v>1341</v>
      </c>
    </row>
    <row r="423" spans="1:17" ht="15">
      <c r="A423">
        <v>421</v>
      </c>
      <c r="B423" s="37" t="s">
        <v>1281</v>
      </c>
      <c r="C423" s="37" t="s">
        <v>1342</v>
      </c>
      <c r="D423" s="37" t="s">
        <v>1343</v>
      </c>
      <c r="E423" s="37">
        <v>3</v>
      </c>
      <c r="F423" s="37" t="s">
        <v>77</v>
      </c>
      <c r="G423" s="37" t="s">
        <v>77</v>
      </c>
      <c r="H423" s="37" t="s">
        <v>77</v>
      </c>
      <c r="I423" s="37" t="s">
        <v>77</v>
      </c>
      <c r="J423" s="37" t="s">
        <v>77</v>
      </c>
      <c r="K423" s="37" t="s">
        <v>77</v>
      </c>
      <c r="L423" s="37" t="s">
        <v>77</v>
      </c>
      <c r="M423" s="37" t="s">
        <v>77</v>
      </c>
      <c r="N423" s="37" t="s">
        <v>77</v>
      </c>
      <c r="O423" s="37" t="s">
        <v>77</v>
      </c>
      <c r="P423" s="37" t="s">
        <v>77</v>
      </c>
      <c r="Q423" s="37" t="s">
        <v>1344</v>
      </c>
    </row>
    <row r="424" spans="1:17" ht="15">
      <c r="A424">
        <v>422</v>
      </c>
      <c r="B424" s="37" t="s">
        <v>1281</v>
      </c>
      <c r="C424" s="37" t="s">
        <v>1345</v>
      </c>
      <c r="D424" s="37" t="s">
        <v>1346</v>
      </c>
      <c r="E424" s="37">
        <v>3</v>
      </c>
      <c r="F424" s="37" t="s">
        <v>77</v>
      </c>
      <c r="G424" s="37" t="s">
        <v>77</v>
      </c>
      <c r="H424" s="37" t="s">
        <v>77</v>
      </c>
      <c r="I424" s="37" t="s">
        <v>77</v>
      </c>
      <c r="J424" s="37" t="s">
        <v>77</v>
      </c>
      <c r="K424" s="37" t="s">
        <v>77</v>
      </c>
      <c r="L424" s="37" t="s">
        <v>77</v>
      </c>
      <c r="M424" s="37" t="s">
        <v>77</v>
      </c>
      <c r="N424" s="37" t="s">
        <v>77</v>
      </c>
      <c r="O424" s="37" t="s">
        <v>77</v>
      </c>
      <c r="P424" s="37" t="s">
        <v>77</v>
      </c>
      <c r="Q424" s="37" t="s">
        <v>1347</v>
      </c>
    </row>
    <row r="425" spans="1:17" ht="15">
      <c r="A425">
        <v>423</v>
      </c>
      <c r="B425" s="37" t="s">
        <v>1281</v>
      </c>
      <c r="C425" s="37" t="s">
        <v>1348</v>
      </c>
      <c r="D425" s="37" t="s">
        <v>1349</v>
      </c>
      <c r="E425" s="37">
        <v>3</v>
      </c>
      <c r="F425" s="37" t="s">
        <v>77</v>
      </c>
      <c r="G425" s="37" t="s">
        <v>77</v>
      </c>
      <c r="H425" s="37" t="s">
        <v>77</v>
      </c>
      <c r="I425" s="37" t="s">
        <v>77</v>
      </c>
      <c r="J425" s="37" t="s">
        <v>77</v>
      </c>
      <c r="K425" s="37" t="s">
        <v>77</v>
      </c>
      <c r="L425" s="37" t="s">
        <v>77</v>
      </c>
      <c r="M425" s="37" t="s">
        <v>77</v>
      </c>
      <c r="N425" s="37" t="s">
        <v>77</v>
      </c>
      <c r="O425" s="37" t="s">
        <v>77</v>
      </c>
      <c r="P425" s="37" t="s">
        <v>77</v>
      </c>
      <c r="Q425" s="37" t="s">
        <v>1350</v>
      </c>
    </row>
    <row r="426" spans="1:17" ht="15">
      <c r="A426">
        <v>424</v>
      </c>
      <c r="B426" s="37" t="s">
        <v>1281</v>
      </c>
      <c r="C426" s="37" t="s">
        <v>1351</v>
      </c>
      <c r="D426" s="37" t="s">
        <v>1352</v>
      </c>
      <c r="E426" s="37">
        <v>3</v>
      </c>
      <c r="F426" s="37" t="s">
        <v>77</v>
      </c>
      <c r="G426" s="37" t="s">
        <v>77</v>
      </c>
      <c r="H426" s="37" t="s">
        <v>77</v>
      </c>
      <c r="I426" s="37" t="s">
        <v>77</v>
      </c>
      <c r="J426" s="37" t="s">
        <v>77</v>
      </c>
      <c r="K426" s="37" t="s">
        <v>77</v>
      </c>
      <c r="L426" s="37" t="s">
        <v>77</v>
      </c>
      <c r="M426" s="37" t="s">
        <v>77</v>
      </c>
      <c r="N426" s="37" t="s">
        <v>77</v>
      </c>
      <c r="O426" s="37" t="s">
        <v>77</v>
      </c>
      <c r="P426" s="37" t="s">
        <v>77</v>
      </c>
      <c r="Q426" s="37" t="s">
        <v>1353</v>
      </c>
    </row>
    <row r="427" spans="1:17" ht="15">
      <c r="A427">
        <v>425</v>
      </c>
      <c r="B427" s="37" t="s">
        <v>1281</v>
      </c>
      <c r="C427" s="37" t="s">
        <v>1354</v>
      </c>
      <c r="D427" s="37" t="s">
        <v>1355</v>
      </c>
      <c r="E427" s="37">
        <v>3</v>
      </c>
      <c r="F427" s="37" t="s">
        <v>77</v>
      </c>
      <c r="G427" s="37" t="s">
        <v>77</v>
      </c>
      <c r="H427" s="37" t="s">
        <v>77</v>
      </c>
      <c r="I427" s="37" t="s">
        <v>77</v>
      </c>
      <c r="J427" s="37" t="s">
        <v>77</v>
      </c>
      <c r="K427" s="37" t="s">
        <v>77</v>
      </c>
      <c r="L427" s="37" t="s">
        <v>77</v>
      </c>
      <c r="M427" s="37" t="s">
        <v>77</v>
      </c>
      <c r="N427" s="37" t="s">
        <v>77</v>
      </c>
      <c r="O427" s="37" t="s">
        <v>77</v>
      </c>
      <c r="P427" s="37" t="s">
        <v>77</v>
      </c>
      <c r="Q427" s="37" t="s">
        <v>1356</v>
      </c>
    </row>
    <row r="428" spans="1:17" ht="15">
      <c r="A428">
        <v>426</v>
      </c>
      <c r="B428" s="37" t="s">
        <v>1281</v>
      </c>
      <c r="C428" s="37" t="s">
        <v>1357</v>
      </c>
      <c r="D428" s="37" t="s">
        <v>1358</v>
      </c>
      <c r="E428" s="37">
        <v>3</v>
      </c>
      <c r="F428" s="37" t="s">
        <v>77</v>
      </c>
      <c r="G428" s="37" t="s">
        <v>77</v>
      </c>
      <c r="H428" s="37" t="s">
        <v>77</v>
      </c>
      <c r="I428" s="37" t="s">
        <v>77</v>
      </c>
      <c r="J428" s="37" t="s">
        <v>77</v>
      </c>
      <c r="K428" s="37" t="s">
        <v>77</v>
      </c>
      <c r="L428" s="37" t="s">
        <v>77</v>
      </c>
      <c r="M428" s="37" t="s">
        <v>77</v>
      </c>
      <c r="N428" s="37" t="s">
        <v>77</v>
      </c>
      <c r="O428" s="37" t="s">
        <v>77</v>
      </c>
      <c r="P428" s="37" t="s">
        <v>77</v>
      </c>
      <c r="Q428" s="37" t="s">
        <v>1359</v>
      </c>
    </row>
    <row r="429" spans="1:17" ht="15">
      <c r="A429">
        <v>427</v>
      </c>
      <c r="B429" s="37" t="s">
        <v>1281</v>
      </c>
      <c r="C429" s="37" t="s">
        <v>1360</v>
      </c>
      <c r="D429" s="37" t="s">
        <v>1361</v>
      </c>
      <c r="E429" s="37">
        <v>3</v>
      </c>
      <c r="F429" s="37" t="s">
        <v>77</v>
      </c>
      <c r="G429" s="37" t="s">
        <v>77</v>
      </c>
      <c r="H429" s="37" t="s">
        <v>77</v>
      </c>
      <c r="I429" s="37" t="s">
        <v>77</v>
      </c>
      <c r="J429" s="37" t="s">
        <v>77</v>
      </c>
      <c r="K429" s="37" t="s">
        <v>77</v>
      </c>
      <c r="L429" s="37" t="s">
        <v>77</v>
      </c>
      <c r="M429" s="37" t="s">
        <v>77</v>
      </c>
      <c r="N429" s="37" t="s">
        <v>77</v>
      </c>
      <c r="O429" s="37" t="s">
        <v>77</v>
      </c>
      <c r="P429" s="37" t="s">
        <v>77</v>
      </c>
      <c r="Q429" s="37" t="s">
        <v>1362</v>
      </c>
    </row>
    <row r="430" spans="1:17" ht="15">
      <c r="A430">
        <v>428</v>
      </c>
      <c r="B430" s="37" t="s">
        <v>1281</v>
      </c>
      <c r="C430" s="37" t="s">
        <v>1363</v>
      </c>
      <c r="D430" s="37" t="s">
        <v>1364</v>
      </c>
      <c r="E430" s="37">
        <v>3</v>
      </c>
      <c r="F430" s="37" t="s">
        <v>77</v>
      </c>
      <c r="G430" s="37" t="s">
        <v>77</v>
      </c>
      <c r="H430" s="37" t="s">
        <v>77</v>
      </c>
      <c r="I430" s="37" t="s">
        <v>77</v>
      </c>
      <c r="J430" s="37" t="s">
        <v>77</v>
      </c>
      <c r="K430" s="37" t="s">
        <v>77</v>
      </c>
      <c r="L430" s="37" t="s">
        <v>77</v>
      </c>
      <c r="M430" s="37" t="s">
        <v>77</v>
      </c>
      <c r="N430" s="37" t="s">
        <v>77</v>
      </c>
      <c r="O430" s="37" t="s">
        <v>77</v>
      </c>
      <c r="P430" s="37" t="s">
        <v>77</v>
      </c>
      <c r="Q430" s="37" t="s">
        <v>1365</v>
      </c>
    </row>
    <row r="431" spans="1:17" ht="15">
      <c r="A431">
        <v>429</v>
      </c>
      <c r="B431" s="37" t="s">
        <v>1281</v>
      </c>
      <c r="C431" s="37" t="s">
        <v>1366</v>
      </c>
      <c r="D431" s="37" t="s">
        <v>1367</v>
      </c>
      <c r="E431" s="37">
        <v>3</v>
      </c>
      <c r="F431" s="37" t="s">
        <v>77</v>
      </c>
      <c r="G431" s="37" t="s">
        <v>77</v>
      </c>
      <c r="H431" s="37" t="s">
        <v>77</v>
      </c>
      <c r="I431" s="37" t="s">
        <v>77</v>
      </c>
      <c r="J431" s="37" t="s">
        <v>77</v>
      </c>
      <c r="K431" s="37" t="s">
        <v>77</v>
      </c>
      <c r="L431" s="37" t="s">
        <v>77</v>
      </c>
      <c r="M431" s="37" t="s">
        <v>77</v>
      </c>
      <c r="N431" s="37" t="s">
        <v>77</v>
      </c>
      <c r="O431" s="37" t="s">
        <v>77</v>
      </c>
      <c r="P431" s="37" t="s">
        <v>77</v>
      </c>
      <c r="Q431" s="37" t="s">
        <v>1368</v>
      </c>
    </row>
    <row r="432" spans="1:17" ht="15">
      <c r="A432">
        <v>430</v>
      </c>
      <c r="B432" s="37" t="s">
        <v>1281</v>
      </c>
      <c r="C432" s="37" t="s">
        <v>1369</v>
      </c>
      <c r="D432" s="37" t="s">
        <v>1370</v>
      </c>
      <c r="E432" s="37">
        <v>3</v>
      </c>
      <c r="F432" s="37" t="s">
        <v>77</v>
      </c>
      <c r="G432" s="37" t="s">
        <v>77</v>
      </c>
      <c r="H432" s="37" t="s">
        <v>77</v>
      </c>
      <c r="I432" s="37" t="s">
        <v>77</v>
      </c>
      <c r="J432" s="37" t="s">
        <v>77</v>
      </c>
      <c r="K432" s="37" t="s">
        <v>77</v>
      </c>
      <c r="L432" s="37" t="s">
        <v>77</v>
      </c>
      <c r="M432" s="37" t="s">
        <v>77</v>
      </c>
      <c r="N432" s="37" t="s">
        <v>77</v>
      </c>
      <c r="O432" s="37" t="s">
        <v>77</v>
      </c>
      <c r="P432" s="37" t="s">
        <v>77</v>
      </c>
      <c r="Q432" s="37" t="s">
        <v>1371</v>
      </c>
    </row>
    <row r="433" spans="1:17" ht="15">
      <c r="A433">
        <v>431</v>
      </c>
      <c r="B433" s="37" t="s">
        <v>1281</v>
      </c>
      <c r="C433" s="37" t="s">
        <v>1372</v>
      </c>
      <c r="D433" s="37" t="s">
        <v>1373</v>
      </c>
      <c r="E433" s="37">
        <v>3</v>
      </c>
      <c r="F433" s="37" t="s">
        <v>77</v>
      </c>
      <c r="G433" s="37" t="s">
        <v>77</v>
      </c>
      <c r="H433" s="37" t="s">
        <v>77</v>
      </c>
      <c r="I433" s="37" t="s">
        <v>77</v>
      </c>
      <c r="J433" s="37" t="s">
        <v>77</v>
      </c>
      <c r="K433" s="37" t="s">
        <v>77</v>
      </c>
      <c r="L433" s="37" t="s">
        <v>77</v>
      </c>
      <c r="M433" s="37" t="s">
        <v>77</v>
      </c>
      <c r="N433" s="37" t="s">
        <v>77</v>
      </c>
      <c r="O433" s="37" t="s">
        <v>77</v>
      </c>
      <c r="P433" s="37" t="s">
        <v>77</v>
      </c>
      <c r="Q433" s="37" t="s">
        <v>1374</v>
      </c>
    </row>
    <row r="434" spans="1:17" ht="15">
      <c r="A434">
        <v>432</v>
      </c>
      <c r="B434" s="37" t="s">
        <v>1281</v>
      </c>
      <c r="C434" s="37" t="s">
        <v>1375</v>
      </c>
      <c r="D434" s="37" t="s">
        <v>1376</v>
      </c>
      <c r="E434" s="37">
        <v>3</v>
      </c>
      <c r="F434" s="37" t="s">
        <v>77</v>
      </c>
      <c r="G434" s="37" t="s">
        <v>77</v>
      </c>
      <c r="H434" s="37" t="s">
        <v>77</v>
      </c>
      <c r="I434" s="37" t="s">
        <v>77</v>
      </c>
      <c r="J434" s="37" t="s">
        <v>77</v>
      </c>
      <c r="K434" s="37" t="s">
        <v>77</v>
      </c>
      <c r="L434" s="37" t="s">
        <v>77</v>
      </c>
      <c r="M434" s="37" t="s">
        <v>77</v>
      </c>
      <c r="N434" s="37" t="s">
        <v>77</v>
      </c>
      <c r="O434" s="37" t="s">
        <v>77</v>
      </c>
      <c r="P434" s="37" t="s">
        <v>77</v>
      </c>
      <c r="Q434" s="37" t="s">
        <v>1377</v>
      </c>
    </row>
    <row r="435" spans="1:17" ht="15">
      <c r="A435">
        <v>433</v>
      </c>
      <c r="B435" s="37" t="s">
        <v>1281</v>
      </c>
      <c r="C435" s="37" t="s">
        <v>1378</v>
      </c>
      <c r="D435" s="37" t="s">
        <v>1379</v>
      </c>
      <c r="E435" s="37">
        <v>3</v>
      </c>
      <c r="F435" s="37" t="s">
        <v>77</v>
      </c>
      <c r="G435" s="37" t="s">
        <v>77</v>
      </c>
      <c r="H435" s="37" t="s">
        <v>77</v>
      </c>
      <c r="I435" s="37" t="s">
        <v>77</v>
      </c>
      <c r="J435" s="37" t="s">
        <v>77</v>
      </c>
      <c r="K435" s="37" t="s">
        <v>77</v>
      </c>
      <c r="L435" s="37" t="s">
        <v>77</v>
      </c>
      <c r="M435" s="37" t="s">
        <v>77</v>
      </c>
      <c r="N435" s="37" t="s">
        <v>77</v>
      </c>
      <c r="O435" s="37" t="s">
        <v>77</v>
      </c>
      <c r="P435" s="37" t="s">
        <v>77</v>
      </c>
      <c r="Q435" s="37" t="s">
        <v>1380</v>
      </c>
    </row>
    <row r="436" spans="1:17" ht="15">
      <c r="A436">
        <v>434</v>
      </c>
      <c r="B436" s="37" t="s">
        <v>1281</v>
      </c>
      <c r="C436" s="37" t="s">
        <v>1381</v>
      </c>
      <c r="D436" s="37" t="s">
        <v>1382</v>
      </c>
      <c r="E436" s="37">
        <v>3</v>
      </c>
      <c r="F436" s="37" t="s">
        <v>77</v>
      </c>
      <c r="G436" s="37" t="s">
        <v>77</v>
      </c>
      <c r="H436" s="37" t="s">
        <v>77</v>
      </c>
      <c r="I436" s="37" t="s">
        <v>77</v>
      </c>
      <c r="J436" s="37" t="s">
        <v>77</v>
      </c>
      <c r="K436" s="37" t="s">
        <v>77</v>
      </c>
      <c r="L436" s="37" t="s">
        <v>77</v>
      </c>
      <c r="M436" s="37" t="s">
        <v>77</v>
      </c>
      <c r="N436" s="37" t="s">
        <v>77</v>
      </c>
      <c r="O436" s="37" t="s">
        <v>77</v>
      </c>
      <c r="P436" s="37" t="s">
        <v>77</v>
      </c>
      <c r="Q436" s="37" t="s">
        <v>1383</v>
      </c>
    </row>
    <row r="437" spans="1:17" ht="15">
      <c r="A437">
        <v>435</v>
      </c>
      <c r="B437" s="37" t="s">
        <v>1281</v>
      </c>
      <c r="C437" s="37" t="s">
        <v>1384</v>
      </c>
      <c r="D437" s="37" t="s">
        <v>1385</v>
      </c>
      <c r="E437" s="37">
        <v>3</v>
      </c>
      <c r="F437" s="37" t="s">
        <v>77</v>
      </c>
      <c r="G437" s="37" t="s">
        <v>77</v>
      </c>
      <c r="H437" s="37" t="s">
        <v>77</v>
      </c>
      <c r="I437" s="37" t="s">
        <v>77</v>
      </c>
      <c r="J437" s="37" t="s">
        <v>77</v>
      </c>
      <c r="K437" s="37" t="s">
        <v>77</v>
      </c>
      <c r="L437" s="37" t="s">
        <v>77</v>
      </c>
      <c r="M437" s="37" t="s">
        <v>77</v>
      </c>
      <c r="N437" s="37" t="s">
        <v>77</v>
      </c>
      <c r="O437" s="37" t="s">
        <v>77</v>
      </c>
      <c r="P437" s="37" t="s">
        <v>77</v>
      </c>
      <c r="Q437" s="37" t="s">
        <v>1386</v>
      </c>
    </row>
    <row r="438" spans="1:17" ht="15">
      <c r="A438">
        <v>436</v>
      </c>
      <c r="B438" s="37" t="s">
        <v>1281</v>
      </c>
      <c r="C438" s="37" t="s">
        <v>1387</v>
      </c>
      <c r="D438" s="37" t="s">
        <v>1388</v>
      </c>
      <c r="E438" s="37">
        <v>4</v>
      </c>
      <c r="F438" s="37" t="s">
        <v>77</v>
      </c>
      <c r="G438" s="37" t="s">
        <v>77</v>
      </c>
      <c r="H438" s="37" t="s">
        <v>77</v>
      </c>
      <c r="I438" s="37" t="s">
        <v>77</v>
      </c>
      <c r="J438" s="37" t="s">
        <v>77</v>
      </c>
      <c r="K438" s="37" t="s">
        <v>77</v>
      </c>
      <c r="L438" s="37" t="s">
        <v>77</v>
      </c>
      <c r="M438" s="37" t="s">
        <v>77</v>
      </c>
      <c r="N438" s="37" t="s">
        <v>77</v>
      </c>
      <c r="O438" s="37" t="s">
        <v>77</v>
      </c>
      <c r="P438" s="37" t="s">
        <v>77</v>
      </c>
      <c r="Q438" s="37" t="s">
        <v>1389</v>
      </c>
    </row>
    <row r="439" spans="1:17" ht="15">
      <c r="A439">
        <v>437</v>
      </c>
      <c r="B439" s="37" t="s">
        <v>1281</v>
      </c>
      <c r="C439" s="37" t="s">
        <v>1390</v>
      </c>
      <c r="D439" s="37" t="s">
        <v>1391</v>
      </c>
      <c r="E439" s="37">
        <v>3</v>
      </c>
      <c r="F439" s="37" t="s">
        <v>77</v>
      </c>
      <c r="G439" s="37" t="s">
        <v>77</v>
      </c>
      <c r="H439" s="37" t="s">
        <v>77</v>
      </c>
      <c r="I439" s="37" t="s">
        <v>77</v>
      </c>
      <c r="J439" s="37" t="s">
        <v>77</v>
      </c>
      <c r="K439" s="37" t="s">
        <v>77</v>
      </c>
      <c r="L439" s="37" t="s">
        <v>77</v>
      </c>
      <c r="M439" s="37" t="s">
        <v>77</v>
      </c>
      <c r="N439" s="37" t="s">
        <v>77</v>
      </c>
      <c r="O439" s="37" t="s">
        <v>77</v>
      </c>
      <c r="P439" s="37" t="s">
        <v>77</v>
      </c>
      <c r="Q439" s="37" t="s">
        <v>1392</v>
      </c>
    </row>
    <row r="440" spans="1:17" ht="15">
      <c r="A440">
        <v>438</v>
      </c>
      <c r="B440" s="37" t="s">
        <v>1281</v>
      </c>
      <c r="C440" s="37" t="s">
        <v>1393</v>
      </c>
      <c r="D440" s="37" t="s">
        <v>1133</v>
      </c>
      <c r="E440" s="37">
        <v>3</v>
      </c>
      <c r="F440" s="37" t="s">
        <v>77</v>
      </c>
      <c r="G440" s="37" t="s">
        <v>77</v>
      </c>
      <c r="H440" s="37" t="s">
        <v>77</v>
      </c>
      <c r="I440" s="37" t="s">
        <v>77</v>
      </c>
      <c r="J440" s="37" t="s">
        <v>77</v>
      </c>
      <c r="K440" s="37" t="s">
        <v>77</v>
      </c>
      <c r="L440" s="37" t="s">
        <v>77</v>
      </c>
      <c r="M440" s="37" t="s">
        <v>77</v>
      </c>
      <c r="N440" s="37" t="s">
        <v>77</v>
      </c>
      <c r="O440" s="37" t="s">
        <v>77</v>
      </c>
      <c r="P440" s="37" t="s">
        <v>77</v>
      </c>
      <c r="Q440" s="37" t="s">
        <v>1394</v>
      </c>
    </row>
    <row r="441" spans="1:17" ht="15">
      <c r="A441">
        <v>439</v>
      </c>
      <c r="B441" s="37" t="s">
        <v>1281</v>
      </c>
      <c r="C441" s="37" t="s">
        <v>1395</v>
      </c>
      <c r="D441" s="37" t="s">
        <v>1396</v>
      </c>
      <c r="E441" s="37">
        <v>3</v>
      </c>
      <c r="F441" s="37" t="s">
        <v>77</v>
      </c>
      <c r="G441" s="37" t="s">
        <v>77</v>
      </c>
      <c r="H441" s="37" t="s">
        <v>77</v>
      </c>
      <c r="I441" s="37" t="s">
        <v>77</v>
      </c>
      <c r="J441" s="37" t="s">
        <v>77</v>
      </c>
      <c r="K441" s="37" t="s">
        <v>77</v>
      </c>
      <c r="L441" s="37" t="s">
        <v>77</v>
      </c>
      <c r="M441" s="37" t="s">
        <v>77</v>
      </c>
      <c r="N441" s="37" t="s">
        <v>77</v>
      </c>
      <c r="O441" s="37" t="s">
        <v>77</v>
      </c>
      <c r="P441" s="37" t="s">
        <v>77</v>
      </c>
      <c r="Q441" s="37" t="s">
        <v>1397</v>
      </c>
    </row>
    <row r="442" spans="1:17" ht="15">
      <c r="A442">
        <v>440</v>
      </c>
      <c r="B442" s="37" t="s">
        <v>1281</v>
      </c>
      <c r="C442" s="37" t="s">
        <v>1398</v>
      </c>
      <c r="D442" s="37" t="s">
        <v>1399</v>
      </c>
      <c r="E442" s="37">
        <v>3</v>
      </c>
      <c r="F442" s="37" t="s">
        <v>77</v>
      </c>
      <c r="G442" s="37" t="s">
        <v>77</v>
      </c>
      <c r="H442" s="37" t="s">
        <v>77</v>
      </c>
      <c r="I442" s="37" t="s">
        <v>77</v>
      </c>
      <c r="J442" s="37" t="s">
        <v>77</v>
      </c>
      <c r="K442" s="37" t="s">
        <v>77</v>
      </c>
      <c r="L442" s="37" t="s">
        <v>77</v>
      </c>
      <c r="M442" s="37" t="s">
        <v>77</v>
      </c>
      <c r="N442" s="37" t="s">
        <v>77</v>
      </c>
      <c r="O442" s="37" t="s">
        <v>77</v>
      </c>
      <c r="P442" s="37" t="s">
        <v>77</v>
      </c>
      <c r="Q442" s="37" t="s">
        <v>1400</v>
      </c>
    </row>
    <row r="443" spans="1:17" ht="15">
      <c r="A443">
        <v>441</v>
      </c>
      <c r="B443" s="37" t="s">
        <v>1281</v>
      </c>
      <c r="C443" s="37" t="s">
        <v>1401</v>
      </c>
      <c r="D443" s="37" t="s">
        <v>1127</v>
      </c>
      <c r="E443" s="37">
        <v>3</v>
      </c>
      <c r="F443" s="37" t="s">
        <v>77</v>
      </c>
      <c r="G443" s="37" t="s">
        <v>77</v>
      </c>
      <c r="H443" s="37" t="s">
        <v>77</v>
      </c>
      <c r="I443" s="37" t="s">
        <v>77</v>
      </c>
      <c r="J443" s="37" t="s">
        <v>77</v>
      </c>
      <c r="K443" s="37" t="s">
        <v>77</v>
      </c>
      <c r="L443" s="37" t="s">
        <v>77</v>
      </c>
      <c r="M443" s="37" t="s">
        <v>77</v>
      </c>
      <c r="N443" s="37" t="s">
        <v>77</v>
      </c>
      <c r="O443" s="37" t="s">
        <v>77</v>
      </c>
      <c r="P443" s="37" t="s">
        <v>77</v>
      </c>
      <c r="Q443" s="37" t="s">
        <v>1402</v>
      </c>
    </row>
    <row r="444" spans="1:17" ht="15">
      <c r="A444">
        <v>442</v>
      </c>
      <c r="B444" s="37" t="s">
        <v>1281</v>
      </c>
      <c r="C444" s="37" t="s">
        <v>1403</v>
      </c>
      <c r="D444" s="37" t="s">
        <v>1404</v>
      </c>
      <c r="E444" s="37">
        <v>3</v>
      </c>
      <c r="F444" s="37" t="s">
        <v>77</v>
      </c>
      <c r="G444" s="37" t="s">
        <v>77</v>
      </c>
      <c r="H444" s="37" t="s">
        <v>77</v>
      </c>
      <c r="I444" s="37" t="s">
        <v>77</v>
      </c>
      <c r="J444" s="37" t="s">
        <v>77</v>
      </c>
      <c r="K444" s="37" t="s">
        <v>77</v>
      </c>
      <c r="L444" s="37" t="s">
        <v>77</v>
      </c>
      <c r="M444" s="37" t="s">
        <v>77</v>
      </c>
      <c r="N444" s="37" t="s">
        <v>77</v>
      </c>
      <c r="O444" s="37" t="s">
        <v>77</v>
      </c>
      <c r="P444" s="37" t="s">
        <v>77</v>
      </c>
      <c r="Q444" s="37" t="s">
        <v>1405</v>
      </c>
    </row>
    <row r="445" spans="1:17" ht="15">
      <c r="A445">
        <v>443</v>
      </c>
      <c r="B445" s="37" t="s">
        <v>1281</v>
      </c>
      <c r="C445" s="37" t="s">
        <v>1406</v>
      </c>
      <c r="D445" s="37" t="s">
        <v>1100</v>
      </c>
      <c r="E445" s="37">
        <v>3</v>
      </c>
      <c r="F445" s="37" t="s">
        <v>77</v>
      </c>
      <c r="G445" s="37" t="s">
        <v>77</v>
      </c>
      <c r="H445" s="37" t="s">
        <v>77</v>
      </c>
      <c r="I445" s="37" t="s">
        <v>77</v>
      </c>
      <c r="J445" s="37" t="s">
        <v>77</v>
      </c>
      <c r="K445" s="37" t="s">
        <v>77</v>
      </c>
      <c r="L445" s="37" t="s">
        <v>77</v>
      </c>
      <c r="M445" s="37" t="s">
        <v>77</v>
      </c>
      <c r="N445" s="37" t="s">
        <v>77</v>
      </c>
      <c r="O445" s="37" t="s">
        <v>77</v>
      </c>
      <c r="P445" s="37" t="s">
        <v>77</v>
      </c>
      <c r="Q445" s="37" t="s">
        <v>1407</v>
      </c>
    </row>
    <row r="446" spans="1:17" ht="15">
      <c r="A446">
        <v>444</v>
      </c>
      <c r="B446" s="37" t="s">
        <v>1281</v>
      </c>
      <c r="C446" s="37" t="s">
        <v>1408</v>
      </c>
      <c r="D446" s="37" t="s">
        <v>1103</v>
      </c>
      <c r="E446" s="37">
        <v>4</v>
      </c>
      <c r="F446" s="37" t="s">
        <v>77</v>
      </c>
      <c r="G446" s="37" t="s">
        <v>77</v>
      </c>
      <c r="H446" s="37" t="s">
        <v>77</v>
      </c>
      <c r="I446" s="37" t="s">
        <v>77</v>
      </c>
      <c r="J446" s="37" t="s">
        <v>77</v>
      </c>
      <c r="K446" s="37" t="s">
        <v>77</v>
      </c>
      <c r="L446" s="37" t="s">
        <v>77</v>
      </c>
      <c r="M446" s="37" t="s">
        <v>77</v>
      </c>
      <c r="N446" s="37" t="s">
        <v>77</v>
      </c>
      <c r="O446" s="37" t="s">
        <v>77</v>
      </c>
      <c r="P446" s="37" t="s">
        <v>77</v>
      </c>
      <c r="Q446" s="37" t="s">
        <v>1409</v>
      </c>
    </row>
    <row r="447" spans="1:17" ht="15">
      <c r="A447">
        <v>445</v>
      </c>
      <c r="B447" s="37" t="s">
        <v>1281</v>
      </c>
      <c r="C447" s="37" t="s">
        <v>1410</v>
      </c>
      <c r="D447" s="37" t="s">
        <v>1411</v>
      </c>
      <c r="E447" s="37">
        <v>3</v>
      </c>
      <c r="F447" s="37" t="s">
        <v>77</v>
      </c>
      <c r="G447" s="37" t="s">
        <v>77</v>
      </c>
      <c r="H447" s="37" t="s">
        <v>77</v>
      </c>
      <c r="I447" s="37" t="s">
        <v>77</v>
      </c>
      <c r="J447" s="37" t="s">
        <v>77</v>
      </c>
      <c r="K447" s="37" t="s">
        <v>77</v>
      </c>
      <c r="L447" s="37" t="s">
        <v>77</v>
      </c>
      <c r="M447" s="37" t="s">
        <v>77</v>
      </c>
      <c r="N447" s="37" t="s">
        <v>77</v>
      </c>
      <c r="O447" s="37" t="s">
        <v>77</v>
      </c>
      <c r="P447" s="37" t="s">
        <v>77</v>
      </c>
      <c r="Q447" s="37" t="s">
        <v>1412</v>
      </c>
    </row>
    <row r="448" spans="1:17" ht="15">
      <c r="A448">
        <v>446</v>
      </c>
      <c r="B448" s="37" t="s">
        <v>1281</v>
      </c>
      <c r="C448" s="37" t="s">
        <v>1413</v>
      </c>
      <c r="D448" s="37" t="s">
        <v>1414</v>
      </c>
      <c r="E448" s="37">
        <v>3</v>
      </c>
      <c r="F448" s="37" t="s">
        <v>77</v>
      </c>
      <c r="G448" s="37" t="s">
        <v>77</v>
      </c>
      <c r="H448" s="37" t="s">
        <v>77</v>
      </c>
      <c r="I448" s="37" t="s">
        <v>77</v>
      </c>
      <c r="J448" s="37" t="s">
        <v>77</v>
      </c>
      <c r="K448" s="37" t="s">
        <v>77</v>
      </c>
      <c r="L448" s="37" t="s">
        <v>77</v>
      </c>
      <c r="M448" s="37" t="s">
        <v>77</v>
      </c>
      <c r="N448" s="37" t="s">
        <v>77</v>
      </c>
      <c r="O448" s="37" t="s">
        <v>77</v>
      </c>
      <c r="P448" s="37" t="s">
        <v>77</v>
      </c>
      <c r="Q448" s="37" t="s">
        <v>1415</v>
      </c>
    </row>
    <row r="449" spans="1:17" ht="15">
      <c r="A449">
        <v>447</v>
      </c>
      <c r="B449" s="37" t="s">
        <v>1281</v>
      </c>
      <c r="C449" s="37" t="s">
        <v>1416</v>
      </c>
      <c r="D449" s="37" t="s">
        <v>1417</v>
      </c>
      <c r="E449" s="37">
        <v>3</v>
      </c>
      <c r="F449" s="37" t="s">
        <v>77</v>
      </c>
      <c r="G449" s="37" t="s">
        <v>77</v>
      </c>
      <c r="H449" s="37" t="s">
        <v>77</v>
      </c>
      <c r="I449" s="37" t="s">
        <v>77</v>
      </c>
      <c r="J449" s="37" t="s">
        <v>77</v>
      </c>
      <c r="K449" s="37" t="s">
        <v>77</v>
      </c>
      <c r="L449" s="37" t="s">
        <v>77</v>
      </c>
      <c r="M449" s="37" t="s">
        <v>77</v>
      </c>
      <c r="N449" s="37" t="s">
        <v>77</v>
      </c>
      <c r="O449" s="37" t="s">
        <v>77</v>
      </c>
      <c r="P449" s="37" t="s">
        <v>77</v>
      </c>
      <c r="Q449" s="37" t="s">
        <v>1418</v>
      </c>
    </row>
    <row r="450" spans="1:17" ht="15">
      <c r="A450">
        <v>448</v>
      </c>
      <c r="B450" s="37" t="s">
        <v>1281</v>
      </c>
      <c r="C450" s="37" t="s">
        <v>1419</v>
      </c>
      <c r="D450" s="37" t="s">
        <v>1420</v>
      </c>
      <c r="E450" s="37">
        <v>3</v>
      </c>
      <c r="F450" s="37" t="s">
        <v>77</v>
      </c>
      <c r="G450" s="37" t="s">
        <v>77</v>
      </c>
      <c r="H450" s="37" t="s">
        <v>77</v>
      </c>
      <c r="I450" s="37" t="s">
        <v>77</v>
      </c>
      <c r="J450" s="37" t="s">
        <v>77</v>
      </c>
      <c r="K450" s="37" t="s">
        <v>77</v>
      </c>
      <c r="L450" s="37" t="s">
        <v>77</v>
      </c>
      <c r="M450" s="37" t="s">
        <v>77</v>
      </c>
      <c r="N450" s="37" t="s">
        <v>77</v>
      </c>
      <c r="O450" s="37" t="s">
        <v>77</v>
      </c>
      <c r="P450" s="37" t="s">
        <v>77</v>
      </c>
      <c r="Q450" s="37" t="s">
        <v>1421</v>
      </c>
    </row>
    <row r="451" spans="1:17" ht="15">
      <c r="A451">
        <v>449</v>
      </c>
      <c r="B451" s="37" t="s">
        <v>1281</v>
      </c>
      <c r="C451" s="37" t="s">
        <v>1422</v>
      </c>
      <c r="D451" s="37" t="s">
        <v>1423</v>
      </c>
      <c r="E451" s="37">
        <v>3</v>
      </c>
      <c r="F451" s="37" t="s">
        <v>77</v>
      </c>
      <c r="G451" s="37" t="s">
        <v>77</v>
      </c>
      <c r="H451" s="37" t="s">
        <v>77</v>
      </c>
      <c r="I451" s="37" t="s">
        <v>77</v>
      </c>
      <c r="J451" s="37" t="s">
        <v>77</v>
      </c>
      <c r="K451" s="37" t="s">
        <v>77</v>
      </c>
      <c r="L451" s="37" t="s">
        <v>77</v>
      </c>
      <c r="M451" s="37" t="s">
        <v>77</v>
      </c>
      <c r="N451" s="37" t="s">
        <v>77</v>
      </c>
      <c r="O451" s="37" t="s">
        <v>77</v>
      </c>
      <c r="P451" s="37" t="s">
        <v>77</v>
      </c>
      <c r="Q451" s="37" t="s">
        <v>1424</v>
      </c>
    </row>
    <row r="452" spans="1:17" ht="15">
      <c r="A452">
        <v>450</v>
      </c>
      <c r="B452" s="37" t="s">
        <v>1281</v>
      </c>
      <c r="C452" s="37" t="s">
        <v>1425</v>
      </c>
      <c r="D452" s="37" t="s">
        <v>788</v>
      </c>
      <c r="E452" s="37">
        <v>3</v>
      </c>
      <c r="F452" s="37" t="s">
        <v>77</v>
      </c>
      <c r="G452" s="37" t="s">
        <v>77</v>
      </c>
      <c r="H452" s="37" t="s">
        <v>77</v>
      </c>
      <c r="I452" s="37" t="s">
        <v>77</v>
      </c>
      <c r="J452" s="37" t="s">
        <v>77</v>
      </c>
      <c r="K452" s="37" t="s">
        <v>77</v>
      </c>
      <c r="L452" s="37" t="s">
        <v>77</v>
      </c>
      <c r="M452" s="37" t="s">
        <v>77</v>
      </c>
      <c r="N452" s="37" t="s">
        <v>77</v>
      </c>
      <c r="O452" s="37" t="s">
        <v>77</v>
      </c>
      <c r="P452" s="37" t="s">
        <v>77</v>
      </c>
      <c r="Q452" s="37" t="s">
        <v>1426</v>
      </c>
    </row>
    <row r="453" spans="1:17" ht="15">
      <c r="A453">
        <v>451</v>
      </c>
      <c r="B453" s="37" t="s">
        <v>1281</v>
      </c>
      <c r="C453" s="37" t="s">
        <v>1427</v>
      </c>
      <c r="D453" s="37" t="s">
        <v>1428</v>
      </c>
      <c r="E453" s="37">
        <v>3</v>
      </c>
      <c r="F453" s="37" t="s">
        <v>77</v>
      </c>
      <c r="G453" s="37" t="s">
        <v>77</v>
      </c>
      <c r="H453" s="37" t="s">
        <v>77</v>
      </c>
      <c r="I453" s="37" t="s">
        <v>77</v>
      </c>
      <c r="J453" s="37" t="s">
        <v>77</v>
      </c>
      <c r="K453" s="37" t="s">
        <v>77</v>
      </c>
      <c r="L453" s="37" t="s">
        <v>77</v>
      </c>
      <c r="M453" s="37" t="s">
        <v>77</v>
      </c>
      <c r="N453" s="37" t="s">
        <v>77</v>
      </c>
      <c r="O453" s="37" t="s">
        <v>77</v>
      </c>
      <c r="P453" s="37" t="s">
        <v>77</v>
      </c>
      <c r="Q453" s="37" t="s">
        <v>1429</v>
      </c>
    </row>
    <row r="454" spans="1:17" ht="15">
      <c r="A454">
        <v>452</v>
      </c>
      <c r="B454" s="37" t="s">
        <v>1281</v>
      </c>
      <c r="C454" s="37" t="s">
        <v>1430</v>
      </c>
      <c r="D454" s="37" t="s">
        <v>1431</v>
      </c>
      <c r="E454" s="37">
        <v>3</v>
      </c>
      <c r="F454" s="37" t="s">
        <v>77</v>
      </c>
      <c r="G454" s="37" t="s">
        <v>77</v>
      </c>
      <c r="H454" s="37" t="s">
        <v>77</v>
      </c>
      <c r="I454" s="37" t="s">
        <v>77</v>
      </c>
      <c r="J454" s="37" t="s">
        <v>77</v>
      </c>
      <c r="K454" s="37" t="s">
        <v>77</v>
      </c>
      <c r="L454" s="37" t="s">
        <v>77</v>
      </c>
      <c r="M454" s="37" t="s">
        <v>77</v>
      </c>
      <c r="N454" s="37" t="s">
        <v>77</v>
      </c>
      <c r="O454" s="37" t="s">
        <v>77</v>
      </c>
      <c r="P454" s="37" t="s">
        <v>77</v>
      </c>
      <c r="Q454" s="37" t="s">
        <v>1432</v>
      </c>
    </row>
    <row r="455" spans="1:17" ht="15">
      <c r="A455">
        <v>453</v>
      </c>
      <c r="B455" s="37" t="s">
        <v>1281</v>
      </c>
      <c r="C455" s="37" t="s">
        <v>1433</v>
      </c>
      <c r="D455" s="37" t="s">
        <v>1434</v>
      </c>
      <c r="E455" s="37">
        <v>3</v>
      </c>
      <c r="F455" s="37" t="s">
        <v>77</v>
      </c>
      <c r="G455" s="37" t="s">
        <v>77</v>
      </c>
      <c r="H455" s="37" t="s">
        <v>77</v>
      </c>
      <c r="I455" s="37" t="s">
        <v>77</v>
      </c>
      <c r="J455" s="37" t="s">
        <v>77</v>
      </c>
      <c r="K455" s="37" t="s">
        <v>77</v>
      </c>
      <c r="L455" s="37" t="s">
        <v>77</v>
      </c>
      <c r="M455" s="37" t="s">
        <v>77</v>
      </c>
      <c r="N455" s="37" t="s">
        <v>77</v>
      </c>
      <c r="O455" s="37" t="s">
        <v>77</v>
      </c>
      <c r="P455" s="37" t="s">
        <v>77</v>
      </c>
      <c r="Q455" s="37" t="s">
        <v>1435</v>
      </c>
    </row>
    <row r="456" spans="1:17" ht="15">
      <c r="A456">
        <v>454</v>
      </c>
      <c r="B456" s="37" t="s">
        <v>1281</v>
      </c>
      <c r="C456" s="37" t="s">
        <v>1436</v>
      </c>
      <c r="D456" s="37" t="s">
        <v>1437</v>
      </c>
      <c r="E456" s="37">
        <v>3</v>
      </c>
      <c r="F456" s="37" t="s">
        <v>77</v>
      </c>
      <c r="G456" s="37" t="s">
        <v>77</v>
      </c>
      <c r="H456" s="37" t="s">
        <v>77</v>
      </c>
      <c r="I456" s="37" t="s">
        <v>77</v>
      </c>
      <c r="J456" s="37" t="s">
        <v>77</v>
      </c>
      <c r="K456" s="37" t="s">
        <v>77</v>
      </c>
      <c r="L456" s="37" t="s">
        <v>77</v>
      </c>
      <c r="M456" s="37" t="s">
        <v>77</v>
      </c>
      <c r="N456" s="37" t="s">
        <v>77</v>
      </c>
      <c r="O456" s="37" t="s">
        <v>77</v>
      </c>
      <c r="P456" s="37" t="s">
        <v>77</v>
      </c>
      <c r="Q456" s="37" t="s">
        <v>1438</v>
      </c>
    </row>
    <row r="457" spans="1:17" ht="15">
      <c r="A457">
        <v>455</v>
      </c>
      <c r="B457" s="37" t="s">
        <v>1281</v>
      </c>
      <c r="C457" s="37" t="s">
        <v>1439</v>
      </c>
      <c r="D457" s="37" t="s">
        <v>1440</v>
      </c>
      <c r="E457" s="37">
        <v>3</v>
      </c>
      <c r="F457" s="37" t="s">
        <v>77</v>
      </c>
      <c r="G457" s="37" t="s">
        <v>77</v>
      </c>
      <c r="H457" s="37" t="s">
        <v>77</v>
      </c>
      <c r="I457" s="37" t="s">
        <v>77</v>
      </c>
      <c r="J457" s="37" t="s">
        <v>77</v>
      </c>
      <c r="K457" s="37" t="s">
        <v>77</v>
      </c>
      <c r="L457" s="37" t="s">
        <v>77</v>
      </c>
      <c r="M457" s="37" t="s">
        <v>77</v>
      </c>
      <c r="N457" s="37" t="s">
        <v>77</v>
      </c>
      <c r="O457" s="37" t="s">
        <v>77</v>
      </c>
      <c r="P457" s="37" t="s">
        <v>77</v>
      </c>
      <c r="Q457" s="37" t="s">
        <v>1441</v>
      </c>
    </row>
    <row r="458" spans="1:17" ht="15">
      <c r="A458">
        <v>456</v>
      </c>
      <c r="B458" s="37" t="s">
        <v>1281</v>
      </c>
      <c r="C458" s="37" t="s">
        <v>1442</v>
      </c>
      <c r="D458" s="37" t="s">
        <v>1443</v>
      </c>
      <c r="E458" s="37">
        <v>3</v>
      </c>
      <c r="F458" s="37" t="s">
        <v>77</v>
      </c>
      <c r="G458" s="37" t="s">
        <v>77</v>
      </c>
      <c r="H458" s="37" t="s">
        <v>77</v>
      </c>
      <c r="I458" s="37" t="s">
        <v>77</v>
      </c>
      <c r="J458" s="37" t="s">
        <v>77</v>
      </c>
      <c r="K458" s="37" t="s">
        <v>77</v>
      </c>
      <c r="L458" s="37" t="s">
        <v>77</v>
      </c>
      <c r="M458" s="37" t="s">
        <v>77</v>
      </c>
      <c r="N458" s="37" t="s">
        <v>77</v>
      </c>
      <c r="O458" s="37" t="s">
        <v>77</v>
      </c>
      <c r="P458" s="37" t="s">
        <v>77</v>
      </c>
      <c r="Q458" s="37" t="s">
        <v>1444</v>
      </c>
    </row>
    <row r="459" spans="1:17" ht="15">
      <c r="A459">
        <v>457</v>
      </c>
      <c r="B459" s="37" t="s">
        <v>1281</v>
      </c>
      <c r="C459" s="37" t="s">
        <v>1445</v>
      </c>
      <c r="D459" s="37" t="s">
        <v>1446</v>
      </c>
      <c r="E459" s="37">
        <v>3</v>
      </c>
      <c r="F459" s="37" t="s">
        <v>77</v>
      </c>
      <c r="G459" s="37" t="s">
        <v>77</v>
      </c>
      <c r="H459" s="37" t="s">
        <v>77</v>
      </c>
      <c r="I459" s="37" t="s">
        <v>77</v>
      </c>
      <c r="J459" s="37" t="s">
        <v>77</v>
      </c>
      <c r="K459" s="37" t="s">
        <v>77</v>
      </c>
      <c r="L459" s="37" t="s">
        <v>77</v>
      </c>
      <c r="M459" s="37" t="s">
        <v>77</v>
      </c>
      <c r="N459" s="37" t="s">
        <v>77</v>
      </c>
      <c r="O459" s="37" t="s">
        <v>77</v>
      </c>
      <c r="P459" s="37" t="s">
        <v>77</v>
      </c>
      <c r="Q459" s="37" t="s">
        <v>1447</v>
      </c>
    </row>
    <row r="460" spans="1:17" ht="15">
      <c r="A460">
        <v>458</v>
      </c>
      <c r="B460" s="37" t="s">
        <v>1281</v>
      </c>
      <c r="C460" s="37" t="s">
        <v>1448</v>
      </c>
      <c r="D460" s="37" t="s">
        <v>1214</v>
      </c>
      <c r="E460" s="37">
        <v>4</v>
      </c>
      <c r="F460" s="37" t="s">
        <v>77</v>
      </c>
      <c r="G460" s="37" t="s">
        <v>77</v>
      </c>
      <c r="H460" s="37" t="s">
        <v>77</v>
      </c>
      <c r="I460" s="37" t="s">
        <v>77</v>
      </c>
      <c r="J460" s="37" t="s">
        <v>77</v>
      </c>
      <c r="K460" s="37" t="s">
        <v>77</v>
      </c>
      <c r="L460" s="37" t="s">
        <v>77</v>
      </c>
      <c r="M460" s="37" t="s">
        <v>77</v>
      </c>
      <c r="N460" s="37" t="s">
        <v>77</v>
      </c>
      <c r="O460" s="37" t="s">
        <v>77</v>
      </c>
      <c r="P460" s="37" t="s">
        <v>77</v>
      </c>
      <c r="Q460" s="37" t="s">
        <v>1449</v>
      </c>
    </row>
    <row r="461" spans="1:17" ht="15">
      <c r="A461">
        <v>459</v>
      </c>
      <c r="B461" s="37" t="s">
        <v>1281</v>
      </c>
      <c r="C461" s="37" t="s">
        <v>1450</v>
      </c>
      <c r="D461" s="37" t="s">
        <v>1451</v>
      </c>
      <c r="E461" s="37">
        <v>3</v>
      </c>
      <c r="F461" s="37" t="s">
        <v>77</v>
      </c>
      <c r="G461" s="37" t="s">
        <v>77</v>
      </c>
      <c r="H461" s="37" t="s">
        <v>77</v>
      </c>
      <c r="I461" s="37" t="s">
        <v>77</v>
      </c>
      <c r="J461" s="37" t="s">
        <v>77</v>
      </c>
      <c r="K461" s="37" t="s">
        <v>77</v>
      </c>
      <c r="L461" s="37" t="s">
        <v>77</v>
      </c>
      <c r="M461" s="37" t="s">
        <v>77</v>
      </c>
      <c r="N461" s="37" t="s">
        <v>77</v>
      </c>
      <c r="O461" s="37" t="s">
        <v>77</v>
      </c>
      <c r="P461" s="37" t="s">
        <v>77</v>
      </c>
      <c r="Q461" s="37" t="s">
        <v>1452</v>
      </c>
    </row>
    <row r="462" spans="1:17" ht="15">
      <c r="A462">
        <v>460</v>
      </c>
      <c r="B462" s="37" t="s">
        <v>1281</v>
      </c>
      <c r="C462" s="37" t="s">
        <v>1453</v>
      </c>
      <c r="D462" s="37" t="s">
        <v>1454</v>
      </c>
      <c r="E462" s="37">
        <v>3</v>
      </c>
      <c r="F462" s="37" t="s">
        <v>77</v>
      </c>
      <c r="G462" s="37" t="s">
        <v>77</v>
      </c>
      <c r="H462" s="37" t="s">
        <v>77</v>
      </c>
      <c r="I462" s="37" t="s">
        <v>77</v>
      </c>
      <c r="J462" s="37" t="s">
        <v>77</v>
      </c>
      <c r="K462" s="37" t="s">
        <v>77</v>
      </c>
      <c r="L462" s="37" t="s">
        <v>77</v>
      </c>
      <c r="M462" s="37" t="s">
        <v>77</v>
      </c>
      <c r="N462" s="37" t="s">
        <v>77</v>
      </c>
      <c r="O462" s="37" t="s">
        <v>77</v>
      </c>
      <c r="P462" s="37" t="s">
        <v>77</v>
      </c>
      <c r="Q462" s="37" t="s">
        <v>1455</v>
      </c>
    </row>
    <row r="463" spans="1:17" ht="15">
      <c r="A463">
        <v>461</v>
      </c>
      <c r="B463" s="37" t="s">
        <v>1281</v>
      </c>
      <c r="C463" s="37" t="s">
        <v>1456</v>
      </c>
      <c r="D463" s="37" t="s">
        <v>1457</v>
      </c>
      <c r="E463" s="37">
        <v>3</v>
      </c>
      <c r="F463" s="37" t="s">
        <v>77</v>
      </c>
      <c r="G463" s="37" t="s">
        <v>77</v>
      </c>
      <c r="H463" s="37" t="s">
        <v>77</v>
      </c>
      <c r="I463" s="37" t="s">
        <v>77</v>
      </c>
      <c r="J463" s="37" t="s">
        <v>77</v>
      </c>
      <c r="K463" s="37" t="s">
        <v>77</v>
      </c>
      <c r="L463" s="37" t="s">
        <v>77</v>
      </c>
      <c r="M463" s="37" t="s">
        <v>77</v>
      </c>
      <c r="N463" s="37" t="s">
        <v>77</v>
      </c>
      <c r="O463" s="37" t="s">
        <v>77</v>
      </c>
      <c r="P463" s="37" t="s">
        <v>77</v>
      </c>
      <c r="Q463" s="37" t="s">
        <v>1458</v>
      </c>
    </row>
    <row r="464" spans="1:17" ht="15">
      <c r="A464">
        <v>462</v>
      </c>
      <c r="B464" s="37" t="s">
        <v>1281</v>
      </c>
      <c r="C464" s="37" t="s">
        <v>1459</v>
      </c>
      <c r="D464" s="37" t="s">
        <v>1460</v>
      </c>
      <c r="E464" s="37">
        <v>3</v>
      </c>
      <c r="F464" s="37" t="s">
        <v>77</v>
      </c>
      <c r="G464" s="37" t="s">
        <v>77</v>
      </c>
      <c r="H464" s="37" t="s">
        <v>77</v>
      </c>
      <c r="I464" s="37" t="s">
        <v>77</v>
      </c>
      <c r="J464" s="37" t="s">
        <v>77</v>
      </c>
      <c r="K464" s="37" t="s">
        <v>77</v>
      </c>
      <c r="L464" s="37" t="s">
        <v>77</v>
      </c>
      <c r="M464" s="37" t="s">
        <v>77</v>
      </c>
      <c r="N464" s="37" t="s">
        <v>77</v>
      </c>
      <c r="O464" s="37" t="s">
        <v>77</v>
      </c>
      <c r="P464" s="37" t="s">
        <v>77</v>
      </c>
      <c r="Q464" s="37" t="s">
        <v>1461</v>
      </c>
    </row>
    <row r="465" spans="1:17" ht="15">
      <c r="A465">
        <v>463</v>
      </c>
      <c r="B465" s="37" t="s">
        <v>1281</v>
      </c>
      <c r="C465" s="37" t="s">
        <v>1462</v>
      </c>
      <c r="D465" s="37" t="s">
        <v>1463</v>
      </c>
      <c r="E465" s="37">
        <v>3</v>
      </c>
      <c r="F465" s="37" t="s">
        <v>77</v>
      </c>
      <c r="G465" s="37" t="s">
        <v>77</v>
      </c>
      <c r="H465" s="37" t="s">
        <v>77</v>
      </c>
      <c r="I465" s="37" t="s">
        <v>77</v>
      </c>
      <c r="J465" s="37" t="s">
        <v>77</v>
      </c>
      <c r="K465" s="37" t="s">
        <v>77</v>
      </c>
      <c r="L465" s="37" t="s">
        <v>77</v>
      </c>
      <c r="M465" s="37" t="s">
        <v>77</v>
      </c>
      <c r="N465" s="37" t="s">
        <v>77</v>
      </c>
      <c r="O465" s="37" t="s">
        <v>77</v>
      </c>
      <c r="P465" s="37" t="s">
        <v>77</v>
      </c>
      <c r="Q465" s="37" t="s">
        <v>1464</v>
      </c>
    </row>
    <row r="466" spans="1:17" ht="15">
      <c r="A466">
        <v>464</v>
      </c>
      <c r="B466" s="37" t="s">
        <v>1281</v>
      </c>
      <c r="C466" s="37" t="s">
        <v>1465</v>
      </c>
      <c r="D466" s="37" t="s">
        <v>1466</v>
      </c>
      <c r="E466" s="37">
        <v>3</v>
      </c>
      <c r="F466" s="37" t="s">
        <v>77</v>
      </c>
      <c r="G466" s="37" t="s">
        <v>77</v>
      </c>
      <c r="H466" s="37" t="s">
        <v>77</v>
      </c>
      <c r="I466" s="37" t="s">
        <v>77</v>
      </c>
      <c r="J466" s="37" t="s">
        <v>77</v>
      </c>
      <c r="K466" s="37" t="s">
        <v>77</v>
      </c>
      <c r="L466" s="37" t="s">
        <v>77</v>
      </c>
      <c r="M466" s="37" t="s">
        <v>77</v>
      </c>
      <c r="N466" s="37" t="s">
        <v>77</v>
      </c>
      <c r="O466" s="37" t="s">
        <v>77</v>
      </c>
      <c r="P466" s="37" t="s">
        <v>77</v>
      </c>
      <c r="Q466" s="37" t="s">
        <v>1467</v>
      </c>
    </row>
    <row r="467" spans="1:17" ht="15">
      <c r="A467">
        <v>465</v>
      </c>
      <c r="B467" s="37" t="s">
        <v>1281</v>
      </c>
      <c r="C467" s="37" t="s">
        <v>1468</v>
      </c>
      <c r="D467" s="37" t="s">
        <v>1469</v>
      </c>
      <c r="E467" s="37">
        <v>3</v>
      </c>
      <c r="F467" s="37" t="s">
        <v>77</v>
      </c>
      <c r="G467" s="37" t="s">
        <v>77</v>
      </c>
      <c r="H467" s="37" t="s">
        <v>77</v>
      </c>
      <c r="I467" s="37" t="s">
        <v>77</v>
      </c>
      <c r="J467" s="37" t="s">
        <v>77</v>
      </c>
      <c r="K467" s="37" t="s">
        <v>77</v>
      </c>
      <c r="L467" s="37" t="s">
        <v>77</v>
      </c>
      <c r="M467" s="37" t="s">
        <v>77</v>
      </c>
      <c r="N467" s="37" t="s">
        <v>77</v>
      </c>
      <c r="O467" s="37" t="s">
        <v>77</v>
      </c>
      <c r="P467" s="37" t="s">
        <v>77</v>
      </c>
      <c r="Q467" s="37" t="s">
        <v>1470</v>
      </c>
    </row>
    <row r="468" spans="1:17" ht="15">
      <c r="A468">
        <v>466</v>
      </c>
      <c r="B468" s="37" t="s">
        <v>1281</v>
      </c>
      <c r="C468" s="37" t="s">
        <v>1471</v>
      </c>
      <c r="D468" s="37" t="s">
        <v>1472</v>
      </c>
      <c r="E468" s="37">
        <v>3</v>
      </c>
      <c r="F468" s="37" t="s">
        <v>77</v>
      </c>
      <c r="G468" s="37" t="s">
        <v>77</v>
      </c>
      <c r="H468" s="37" t="s">
        <v>77</v>
      </c>
      <c r="I468" s="37" t="s">
        <v>77</v>
      </c>
      <c r="J468" s="37" t="s">
        <v>77</v>
      </c>
      <c r="K468" s="37" t="s">
        <v>77</v>
      </c>
      <c r="L468" s="37" t="s">
        <v>77</v>
      </c>
      <c r="M468" s="37" t="s">
        <v>77</v>
      </c>
      <c r="N468" s="37" t="s">
        <v>77</v>
      </c>
      <c r="O468" s="37" t="s">
        <v>77</v>
      </c>
      <c r="P468" s="37" t="s">
        <v>77</v>
      </c>
      <c r="Q468" s="37" t="s">
        <v>1473</v>
      </c>
    </row>
    <row r="469" spans="1:17" ht="15">
      <c r="A469">
        <v>467</v>
      </c>
      <c r="B469" s="37" t="s">
        <v>1281</v>
      </c>
      <c r="C469" s="37" t="s">
        <v>1474</v>
      </c>
      <c r="D469" s="37" t="s">
        <v>1475</v>
      </c>
      <c r="E469" s="37">
        <v>3</v>
      </c>
      <c r="F469" s="37" t="s">
        <v>77</v>
      </c>
      <c r="G469" s="37" t="s">
        <v>77</v>
      </c>
      <c r="H469" s="37" t="s">
        <v>77</v>
      </c>
      <c r="I469" s="37" t="s">
        <v>77</v>
      </c>
      <c r="J469" s="37" t="s">
        <v>77</v>
      </c>
      <c r="K469" s="37" t="s">
        <v>77</v>
      </c>
      <c r="L469" s="37" t="s">
        <v>77</v>
      </c>
      <c r="M469" s="37" t="s">
        <v>77</v>
      </c>
      <c r="N469" s="37" t="s">
        <v>77</v>
      </c>
      <c r="O469" s="37" t="s">
        <v>77</v>
      </c>
      <c r="P469" s="37" t="s">
        <v>77</v>
      </c>
      <c r="Q469" s="37" t="s">
        <v>1476</v>
      </c>
    </row>
    <row r="470" spans="1:17" ht="15">
      <c r="A470">
        <v>468</v>
      </c>
      <c r="B470" s="37" t="s">
        <v>1281</v>
      </c>
      <c r="C470" s="37" t="s">
        <v>1477</v>
      </c>
      <c r="D470" s="37" t="s">
        <v>1478</v>
      </c>
      <c r="E470" s="37">
        <v>3</v>
      </c>
      <c r="F470" s="37" t="s">
        <v>77</v>
      </c>
      <c r="G470" s="37" t="s">
        <v>77</v>
      </c>
      <c r="H470" s="37" t="s">
        <v>77</v>
      </c>
      <c r="I470" s="37" t="s">
        <v>77</v>
      </c>
      <c r="J470" s="37" t="s">
        <v>77</v>
      </c>
      <c r="K470" s="37" t="s">
        <v>77</v>
      </c>
      <c r="L470" s="37" t="s">
        <v>77</v>
      </c>
      <c r="M470" s="37" t="s">
        <v>77</v>
      </c>
      <c r="N470" s="37" t="s">
        <v>77</v>
      </c>
      <c r="O470" s="37" t="s">
        <v>77</v>
      </c>
      <c r="P470" s="37" t="s">
        <v>77</v>
      </c>
      <c r="Q470" s="37" t="s">
        <v>1479</v>
      </c>
    </row>
    <row r="471" spans="1:17" ht="15">
      <c r="A471">
        <v>469</v>
      </c>
      <c r="B471" s="37" t="s">
        <v>1281</v>
      </c>
      <c r="C471" s="37" t="s">
        <v>1480</v>
      </c>
      <c r="D471" s="37" t="s">
        <v>1481</v>
      </c>
      <c r="E471" s="37">
        <v>3</v>
      </c>
      <c r="F471" s="37" t="s">
        <v>77</v>
      </c>
      <c r="G471" s="37" t="s">
        <v>77</v>
      </c>
      <c r="H471" s="37" t="s">
        <v>77</v>
      </c>
      <c r="I471" s="37" t="s">
        <v>77</v>
      </c>
      <c r="J471" s="37" t="s">
        <v>77</v>
      </c>
      <c r="K471" s="37" t="s">
        <v>77</v>
      </c>
      <c r="L471" s="37" t="s">
        <v>77</v>
      </c>
      <c r="M471" s="37" t="s">
        <v>77</v>
      </c>
      <c r="N471" s="37" t="s">
        <v>77</v>
      </c>
      <c r="O471" s="37" t="s">
        <v>77</v>
      </c>
      <c r="P471" s="37" t="s">
        <v>77</v>
      </c>
      <c r="Q471" s="37" t="s">
        <v>1482</v>
      </c>
    </row>
    <row r="472" spans="1:17" ht="15">
      <c r="A472">
        <v>470</v>
      </c>
      <c r="B472" s="37" t="s">
        <v>1281</v>
      </c>
      <c r="C472" s="37" t="s">
        <v>1483</v>
      </c>
      <c r="D472" s="37" t="s">
        <v>1484</v>
      </c>
      <c r="E472" s="37">
        <v>3</v>
      </c>
      <c r="F472" s="37" t="s">
        <v>77</v>
      </c>
      <c r="G472" s="37" t="s">
        <v>77</v>
      </c>
      <c r="H472" s="37" t="s">
        <v>77</v>
      </c>
      <c r="I472" s="37" t="s">
        <v>77</v>
      </c>
      <c r="J472" s="37" t="s">
        <v>77</v>
      </c>
      <c r="K472" s="37" t="s">
        <v>77</v>
      </c>
      <c r="L472" s="37" t="s">
        <v>77</v>
      </c>
      <c r="M472" s="37" t="s">
        <v>77</v>
      </c>
      <c r="N472" s="37" t="s">
        <v>77</v>
      </c>
      <c r="O472" s="37" t="s">
        <v>77</v>
      </c>
      <c r="P472" s="37" t="s">
        <v>77</v>
      </c>
      <c r="Q472" s="37" t="s">
        <v>1485</v>
      </c>
    </row>
    <row r="473" spans="1:17" ht="15">
      <c r="A473">
        <v>471</v>
      </c>
      <c r="B473" s="37" t="s">
        <v>1281</v>
      </c>
      <c r="C473" s="37" t="s">
        <v>1486</v>
      </c>
      <c r="D473" s="37" t="s">
        <v>1487</v>
      </c>
      <c r="E473" s="37">
        <v>3</v>
      </c>
      <c r="F473" s="37" t="s">
        <v>77</v>
      </c>
      <c r="G473" s="37" t="s">
        <v>77</v>
      </c>
      <c r="H473" s="37" t="s">
        <v>77</v>
      </c>
      <c r="I473" s="37" t="s">
        <v>77</v>
      </c>
      <c r="J473" s="37" t="s">
        <v>77</v>
      </c>
      <c r="K473" s="37" t="s">
        <v>77</v>
      </c>
      <c r="L473" s="37" t="s">
        <v>77</v>
      </c>
      <c r="M473" s="37" t="s">
        <v>77</v>
      </c>
      <c r="N473" s="37" t="s">
        <v>77</v>
      </c>
      <c r="O473" s="37" t="s">
        <v>77</v>
      </c>
      <c r="P473" s="37" t="s">
        <v>77</v>
      </c>
      <c r="Q473" s="37" t="s">
        <v>1488</v>
      </c>
    </row>
    <row r="474" spans="1:17" ht="15">
      <c r="A474">
        <v>472</v>
      </c>
      <c r="B474" s="37" t="s">
        <v>1281</v>
      </c>
      <c r="C474" s="37" t="s">
        <v>1489</v>
      </c>
      <c r="D474" s="37" t="s">
        <v>1490</v>
      </c>
      <c r="E474" s="37">
        <v>3</v>
      </c>
      <c r="F474" s="37" t="s">
        <v>77</v>
      </c>
      <c r="G474" s="37" t="s">
        <v>77</v>
      </c>
      <c r="H474" s="37" t="s">
        <v>77</v>
      </c>
      <c r="I474" s="37" t="s">
        <v>77</v>
      </c>
      <c r="J474" s="37" t="s">
        <v>77</v>
      </c>
      <c r="K474" s="37" t="s">
        <v>77</v>
      </c>
      <c r="L474" s="37" t="s">
        <v>77</v>
      </c>
      <c r="M474" s="37" t="s">
        <v>77</v>
      </c>
      <c r="N474" s="37" t="s">
        <v>77</v>
      </c>
      <c r="O474" s="37" t="s">
        <v>77</v>
      </c>
      <c r="P474" s="37" t="s">
        <v>77</v>
      </c>
      <c r="Q474" s="37" t="s">
        <v>1491</v>
      </c>
    </row>
    <row r="475" spans="1:17" ht="15">
      <c r="A475">
        <v>473</v>
      </c>
      <c r="B475" s="37" t="s">
        <v>1281</v>
      </c>
      <c r="C475" s="37" t="s">
        <v>1492</v>
      </c>
      <c r="D475" s="37" t="s">
        <v>1493</v>
      </c>
      <c r="E475" s="37">
        <v>3</v>
      </c>
      <c r="F475" s="37" t="s">
        <v>77</v>
      </c>
      <c r="G475" s="37" t="s">
        <v>77</v>
      </c>
      <c r="H475" s="37" t="s">
        <v>77</v>
      </c>
      <c r="I475" s="37" t="s">
        <v>77</v>
      </c>
      <c r="J475" s="37" t="s">
        <v>77</v>
      </c>
      <c r="K475" s="37" t="s">
        <v>77</v>
      </c>
      <c r="L475" s="37" t="s">
        <v>77</v>
      </c>
      <c r="M475" s="37" t="s">
        <v>77</v>
      </c>
      <c r="N475" s="37" t="s">
        <v>77</v>
      </c>
      <c r="O475" s="37" t="s">
        <v>77</v>
      </c>
      <c r="P475" s="37" t="s">
        <v>77</v>
      </c>
      <c r="Q475" s="37" t="s">
        <v>1494</v>
      </c>
    </row>
    <row r="476" spans="1:17" ht="15">
      <c r="A476">
        <v>474</v>
      </c>
      <c r="B476" s="37" t="s">
        <v>1281</v>
      </c>
      <c r="C476" s="37" t="s">
        <v>1495</v>
      </c>
      <c r="D476" s="37" t="s">
        <v>1496</v>
      </c>
      <c r="E476" s="37">
        <v>3</v>
      </c>
      <c r="F476" s="37" t="s">
        <v>77</v>
      </c>
      <c r="G476" s="37" t="s">
        <v>77</v>
      </c>
      <c r="H476" s="37" t="s">
        <v>77</v>
      </c>
      <c r="I476" s="37" t="s">
        <v>77</v>
      </c>
      <c r="J476" s="37" t="s">
        <v>77</v>
      </c>
      <c r="K476" s="37" t="s">
        <v>77</v>
      </c>
      <c r="L476" s="37" t="s">
        <v>77</v>
      </c>
      <c r="M476" s="37" t="s">
        <v>77</v>
      </c>
      <c r="N476" s="37" t="s">
        <v>77</v>
      </c>
      <c r="O476" s="37" t="s">
        <v>77</v>
      </c>
      <c r="P476" s="37" t="s">
        <v>77</v>
      </c>
      <c r="Q476" s="37" t="s">
        <v>1497</v>
      </c>
    </row>
    <row r="477" spans="1:17" ht="15">
      <c r="A477">
        <v>475</v>
      </c>
      <c r="B477" s="37" t="s">
        <v>1281</v>
      </c>
      <c r="C477" s="37" t="s">
        <v>1498</v>
      </c>
      <c r="D477" s="37" t="s">
        <v>1499</v>
      </c>
      <c r="E477" s="37">
        <v>3</v>
      </c>
      <c r="F477" s="37" t="s">
        <v>77</v>
      </c>
      <c r="G477" s="37" t="s">
        <v>77</v>
      </c>
      <c r="H477" s="37" t="s">
        <v>77</v>
      </c>
      <c r="I477" s="37" t="s">
        <v>77</v>
      </c>
      <c r="J477" s="37" t="s">
        <v>77</v>
      </c>
      <c r="K477" s="37" t="s">
        <v>77</v>
      </c>
      <c r="L477" s="37" t="s">
        <v>77</v>
      </c>
      <c r="M477" s="37" t="s">
        <v>77</v>
      </c>
      <c r="N477" s="37" t="s">
        <v>77</v>
      </c>
      <c r="O477" s="37" t="s">
        <v>77</v>
      </c>
      <c r="P477" s="37" t="s">
        <v>77</v>
      </c>
      <c r="Q477" s="37" t="s">
        <v>1500</v>
      </c>
    </row>
    <row r="478" spans="1:17" ht="15">
      <c r="A478">
        <v>476</v>
      </c>
      <c r="B478" s="37" t="s">
        <v>1281</v>
      </c>
      <c r="C478" s="37" t="s">
        <v>1501</v>
      </c>
      <c r="D478" s="37" t="s">
        <v>1502</v>
      </c>
      <c r="E478" s="37">
        <v>3</v>
      </c>
      <c r="F478" s="37" t="s">
        <v>77</v>
      </c>
      <c r="G478" s="37" t="s">
        <v>77</v>
      </c>
      <c r="H478" s="37" t="s">
        <v>77</v>
      </c>
      <c r="I478" s="37" t="s">
        <v>77</v>
      </c>
      <c r="J478" s="37" t="s">
        <v>77</v>
      </c>
      <c r="K478" s="37" t="s">
        <v>77</v>
      </c>
      <c r="L478" s="37" t="s">
        <v>77</v>
      </c>
      <c r="M478" s="37" t="s">
        <v>77</v>
      </c>
      <c r="N478" s="37" t="s">
        <v>77</v>
      </c>
      <c r="O478" s="37" t="s">
        <v>77</v>
      </c>
      <c r="P478" s="37" t="s">
        <v>77</v>
      </c>
      <c r="Q478" s="37" t="s">
        <v>1503</v>
      </c>
    </row>
    <row r="479" spans="1:17" ht="15">
      <c r="A479">
        <v>477</v>
      </c>
      <c r="B479" s="37" t="s">
        <v>1281</v>
      </c>
      <c r="C479" s="37" t="s">
        <v>1504</v>
      </c>
      <c r="D479" s="37" t="s">
        <v>1505</v>
      </c>
      <c r="E479" s="37">
        <v>3</v>
      </c>
      <c r="F479" s="37" t="s">
        <v>77</v>
      </c>
      <c r="G479" s="37" t="s">
        <v>77</v>
      </c>
      <c r="H479" s="37" t="s">
        <v>77</v>
      </c>
      <c r="I479" s="37" t="s">
        <v>77</v>
      </c>
      <c r="J479" s="37" t="s">
        <v>77</v>
      </c>
      <c r="K479" s="37" t="s">
        <v>77</v>
      </c>
      <c r="L479" s="37" t="s">
        <v>77</v>
      </c>
      <c r="M479" s="37" t="s">
        <v>77</v>
      </c>
      <c r="N479" s="37" t="s">
        <v>77</v>
      </c>
      <c r="O479" s="37" t="s">
        <v>77</v>
      </c>
      <c r="P479" s="37" t="s">
        <v>77</v>
      </c>
      <c r="Q479" s="37" t="s">
        <v>1506</v>
      </c>
    </row>
    <row r="480" spans="1:17" ht="15">
      <c r="A480">
        <v>478</v>
      </c>
      <c r="B480" s="37" t="s">
        <v>1281</v>
      </c>
      <c r="C480" s="37" t="s">
        <v>1507</v>
      </c>
      <c r="D480" s="37" t="s">
        <v>1508</v>
      </c>
      <c r="E480" s="37">
        <v>3</v>
      </c>
      <c r="F480" s="37" t="s">
        <v>77</v>
      </c>
      <c r="G480" s="37" t="s">
        <v>77</v>
      </c>
      <c r="H480" s="37" t="s">
        <v>77</v>
      </c>
      <c r="I480" s="37" t="s">
        <v>77</v>
      </c>
      <c r="J480" s="37" t="s">
        <v>77</v>
      </c>
      <c r="K480" s="37" t="s">
        <v>77</v>
      </c>
      <c r="L480" s="37" t="s">
        <v>77</v>
      </c>
      <c r="M480" s="37" t="s">
        <v>77</v>
      </c>
      <c r="N480" s="37" t="s">
        <v>77</v>
      </c>
      <c r="O480" s="37" t="s">
        <v>77</v>
      </c>
      <c r="P480" s="37" t="s">
        <v>77</v>
      </c>
      <c r="Q480" s="37" t="s">
        <v>1509</v>
      </c>
    </row>
    <row r="481" spans="1:17" ht="15">
      <c r="A481">
        <v>479</v>
      </c>
      <c r="B481" s="37" t="s">
        <v>1281</v>
      </c>
      <c r="C481" s="37" t="s">
        <v>1510</v>
      </c>
      <c r="D481" s="37" t="s">
        <v>1511</v>
      </c>
      <c r="E481" s="37">
        <v>3</v>
      </c>
      <c r="F481" s="37" t="s">
        <v>77</v>
      </c>
      <c r="G481" s="37" t="s">
        <v>77</v>
      </c>
      <c r="H481" s="37" t="s">
        <v>77</v>
      </c>
      <c r="I481" s="37" t="s">
        <v>77</v>
      </c>
      <c r="J481" s="37" t="s">
        <v>77</v>
      </c>
      <c r="K481" s="37" t="s">
        <v>77</v>
      </c>
      <c r="L481" s="37" t="s">
        <v>77</v>
      </c>
      <c r="M481" s="37" t="s">
        <v>77</v>
      </c>
      <c r="N481" s="37" t="s">
        <v>77</v>
      </c>
      <c r="O481" s="37" t="s">
        <v>77</v>
      </c>
      <c r="P481" s="37" t="s">
        <v>77</v>
      </c>
      <c r="Q481" s="37" t="s">
        <v>1512</v>
      </c>
    </row>
    <row r="482" spans="1:17" ht="15">
      <c r="A482">
        <v>480</v>
      </c>
      <c r="B482" s="37" t="s">
        <v>1281</v>
      </c>
      <c r="C482" s="37" t="s">
        <v>1513</v>
      </c>
      <c r="D482" s="37" t="s">
        <v>1514</v>
      </c>
      <c r="E482" s="37">
        <v>3</v>
      </c>
      <c r="F482" s="37" t="s">
        <v>77</v>
      </c>
      <c r="G482" s="37" t="s">
        <v>77</v>
      </c>
      <c r="H482" s="37" t="s">
        <v>77</v>
      </c>
      <c r="I482" s="37" t="s">
        <v>77</v>
      </c>
      <c r="J482" s="37" t="s">
        <v>77</v>
      </c>
      <c r="K482" s="37" t="s">
        <v>77</v>
      </c>
      <c r="L482" s="37" t="s">
        <v>77</v>
      </c>
      <c r="M482" s="37" t="s">
        <v>77</v>
      </c>
      <c r="N482" s="37" t="s">
        <v>77</v>
      </c>
      <c r="O482" s="37" t="s">
        <v>77</v>
      </c>
      <c r="P482" s="37" t="s">
        <v>77</v>
      </c>
      <c r="Q482" s="37" t="s">
        <v>1515</v>
      </c>
    </row>
    <row r="483" spans="1:17" ht="15">
      <c r="A483">
        <v>481</v>
      </c>
      <c r="B483" s="37" t="s">
        <v>1281</v>
      </c>
      <c r="C483" s="37" t="s">
        <v>1516</v>
      </c>
      <c r="D483" s="37" t="s">
        <v>1517</v>
      </c>
      <c r="E483" s="37">
        <v>3</v>
      </c>
      <c r="F483" s="37" t="s">
        <v>77</v>
      </c>
      <c r="G483" s="37" t="s">
        <v>77</v>
      </c>
      <c r="H483" s="37" t="s">
        <v>77</v>
      </c>
      <c r="I483" s="37" t="s">
        <v>77</v>
      </c>
      <c r="J483" s="37" t="s">
        <v>77</v>
      </c>
      <c r="K483" s="37" t="s">
        <v>77</v>
      </c>
      <c r="L483" s="37" t="s">
        <v>77</v>
      </c>
      <c r="M483" s="37" t="s">
        <v>77</v>
      </c>
      <c r="N483" s="37" t="s">
        <v>77</v>
      </c>
      <c r="O483" s="37" t="s">
        <v>77</v>
      </c>
      <c r="P483" s="37" t="s">
        <v>77</v>
      </c>
      <c r="Q483" s="37" t="s">
        <v>1518</v>
      </c>
    </row>
    <row r="484" spans="1:17" ht="15">
      <c r="A484">
        <v>482</v>
      </c>
      <c r="B484" s="37" t="s">
        <v>1281</v>
      </c>
      <c r="C484" s="37" t="s">
        <v>1519</v>
      </c>
      <c r="D484" s="37" t="s">
        <v>1520</v>
      </c>
      <c r="E484" s="37">
        <v>3</v>
      </c>
      <c r="F484" s="37" t="s">
        <v>77</v>
      </c>
      <c r="G484" s="37" t="s">
        <v>77</v>
      </c>
      <c r="H484" s="37" t="s">
        <v>77</v>
      </c>
      <c r="I484" s="37" t="s">
        <v>77</v>
      </c>
      <c r="J484" s="37" t="s">
        <v>77</v>
      </c>
      <c r="K484" s="37" t="s">
        <v>77</v>
      </c>
      <c r="L484" s="37" t="s">
        <v>77</v>
      </c>
      <c r="M484" s="37" t="s">
        <v>77</v>
      </c>
      <c r="N484" s="37" t="s">
        <v>77</v>
      </c>
      <c r="O484" s="37" t="s">
        <v>77</v>
      </c>
      <c r="P484" s="37" t="s">
        <v>77</v>
      </c>
      <c r="Q484" s="37" t="s">
        <v>1521</v>
      </c>
    </row>
    <row r="485" spans="1:17" ht="15">
      <c r="A485">
        <v>483</v>
      </c>
      <c r="B485" s="37" t="s">
        <v>1281</v>
      </c>
      <c r="C485" s="37" t="s">
        <v>1522</v>
      </c>
      <c r="D485" s="37" t="s">
        <v>1523</v>
      </c>
      <c r="E485" s="37">
        <v>3</v>
      </c>
      <c r="F485" s="37" t="s">
        <v>77</v>
      </c>
      <c r="G485" s="37" t="s">
        <v>77</v>
      </c>
      <c r="H485" s="37" t="s">
        <v>77</v>
      </c>
      <c r="I485" s="37" t="s">
        <v>77</v>
      </c>
      <c r="J485" s="37" t="s">
        <v>77</v>
      </c>
      <c r="K485" s="37" t="s">
        <v>77</v>
      </c>
      <c r="L485" s="37" t="s">
        <v>77</v>
      </c>
      <c r="M485" s="37" t="s">
        <v>77</v>
      </c>
      <c r="N485" s="37" t="s">
        <v>77</v>
      </c>
      <c r="O485" s="37" t="s">
        <v>77</v>
      </c>
      <c r="P485" s="37" t="s">
        <v>77</v>
      </c>
      <c r="Q485" s="37" t="s">
        <v>1524</v>
      </c>
    </row>
    <row r="486" spans="1:17" ht="15">
      <c r="A486">
        <v>484</v>
      </c>
      <c r="B486" s="37" t="s">
        <v>1281</v>
      </c>
      <c r="C486" s="37" t="s">
        <v>1525</v>
      </c>
      <c r="D486" s="37" t="s">
        <v>1526</v>
      </c>
      <c r="E486" s="37">
        <v>3</v>
      </c>
      <c r="F486" s="37" t="s">
        <v>77</v>
      </c>
      <c r="G486" s="37" t="s">
        <v>77</v>
      </c>
      <c r="H486" s="37" t="s">
        <v>77</v>
      </c>
      <c r="I486" s="37" t="s">
        <v>77</v>
      </c>
      <c r="J486" s="37" t="s">
        <v>77</v>
      </c>
      <c r="K486" s="37" t="s">
        <v>77</v>
      </c>
      <c r="L486" s="37" t="s">
        <v>77</v>
      </c>
      <c r="M486" s="37" t="s">
        <v>77</v>
      </c>
      <c r="N486" s="37" t="s">
        <v>77</v>
      </c>
      <c r="O486" s="37" t="s">
        <v>77</v>
      </c>
      <c r="P486" s="37" t="s">
        <v>77</v>
      </c>
      <c r="Q486" s="37" t="s">
        <v>1527</v>
      </c>
    </row>
    <row r="487" spans="1:17" ht="15">
      <c r="A487">
        <v>485</v>
      </c>
      <c r="B487" s="37" t="s">
        <v>1281</v>
      </c>
      <c r="C487" s="37" t="s">
        <v>1528</v>
      </c>
      <c r="D487" s="37" t="s">
        <v>1529</v>
      </c>
      <c r="E487" s="37">
        <v>3</v>
      </c>
      <c r="F487" s="37" t="s">
        <v>77</v>
      </c>
      <c r="G487" s="37" t="s">
        <v>77</v>
      </c>
      <c r="H487" s="37" t="s">
        <v>77</v>
      </c>
      <c r="I487" s="37" t="s">
        <v>77</v>
      </c>
      <c r="J487" s="37" t="s">
        <v>77</v>
      </c>
      <c r="K487" s="37" t="s">
        <v>77</v>
      </c>
      <c r="L487" s="37" t="s">
        <v>77</v>
      </c>
      <c r="M487" s="37" t="s">
        <v>77</v>
      </c>
      <c r="N487" s="37" t="s">
        <v>77</v>
      </c>
      <c r="O487" s="37" t="s">
        <v>77</v>
      </c>
      <c r="P487" s="37" t="s">
        <v>77</v>
      </c>
      <c r="Q487" s="37" t="s">
        <v>1530</v>
      </c>
    </row>
    <row r="488" spans="1:17" ht="15">
      <c r="A488">
        <v>486</v>
      </c>
      <c r="B488" s="37" t="s">
        <v>1281</v>
      </c>
      <c r="C488" s="37" t="s">
        <v>1531</v>
      </c>
      <c r="D488" s="37" t="s">
        <v>1532</v>
      </c>
      <c r="E488" s="37">
        <v>3</v>
      </c>
      <c r="F488" s="37" t="s">
        <v>77</v>
      </c>
      <c r="G488" s="37" t="s">
        <v>77</v>
      </c>
      <c r="H488" s="37" t="s">
        <v>77</v>
      </c>
      <c r="I488" s="37" t="s">
        <v>77</v>
      </c>
      <c r="J488" s="37" t="s">
        <v>77</v>
      </c>
      <c r="K488" s="37" t="s">
        <v>77</v>
      </c>
      <c r="L488" s="37" t="s">
        <v>77</v>
      </c>
      <c r="M488" s="37" t="s">
        <v>77</v>
      </c>
      <c r="N488" s="37" t="s">
        <v>77</v>
      </c>
      <c r="O488" s="37" t="s">
        <v>77</v>
      </c>
      <c r="P488" s="37" t="s">
        <v>77</v>
      </c>
      <c r="Q488" s="37" t="s">
        <v>1533</v>
      </c>
    </row>
    <row r="489" spans="1:17" ht="15">
      <c r="A489">
        <v>487</v>
      </c>
      <c r="B489" s="37" t="s">
        <v>1281</v>
      </c>
      <c r="C489" s="37" t="s">
        <v>1534</v>
      </c>
      <c r="D489" s="37" t="s">
        <v>1535</v>
      </c>
      <c r="E489" s="37">
        <v>3</v>
      </c>
      <c r="F489" s="37" t="s">
        <v>77</v>
      </c>
      <c r="G489" s="37" t="s">
        <v>77</v>
      </c>
      <c r="H489" s="37" t="s">
        <v>77</v>
      </c>
      <c r="I489" s="37" t="s">
        <v>77</v>
      </c>
      <c r="J489" s="37" t="s">
        <v>77</v>
      </c>
      <c r="K489" s="37" t="s">
        <v>77</v>
      </c>
      <c r="L489" s="37" t="s">
        <v>77</v>
      </c>
      <c r="M489" s="37" t="s">
        <v>77</v>
      </c>
      <c r="N489" s="37" t="s">
        <v>77</v>
      </c>
      <c r="O489" s="37" t="s">
        <v>77</v>
      </c>
      <c r="P489" s="37" t="s">
        <v>77</v>
      </c>
      <c r="Q489" s="37" t="s">
        <v>1536</v>
      </c>
    </row>
    <row r="490" spans="1:17" ht="15">
      <c r="A490">
        <v>488</v>
      </c>
      <c r="B490" s="37" t="s">
        <v>1281</v>
      </c>
      <c r="C490" s="37" t="s">
        <v>1537</v>
      </c>
      <c r="D490" s="37" t="s">
        <v>1538</v>
      </c>
      <c r="E490" s="37">
        <v>3</v>
      </c>
      <c r="F490" s="37" t="s">
        <v>77</v>
      </c>
      <c r="G490" s="37" t="s">
        <v>77</v>
      </c>
      <c r="H490" s="37" t="s">
        <v>77</v>
      </c>
      <c r="I490" s="37" t="s">
        <v>77</v>
      </c>
      <c r="J490" s="37" t="s">
        <v>77</v>
      </c>
      <c r="K490" s="37" t="s">
        <v>77</v>
      </c>
      <c r="L490" s="37" t="s">
        <v>77</v>
      </c>
      <c r="M490" s="37" t="s">
        <v>77</v>
      </c>
      <c r="N490" s="37" t="s">
        <v>77</v>
      </c>
      <c r="O490" s="37" t="s">
        <v>77</v>
      </c>
      <c r="P490" s="37" t="s">
        <v>77</v>
      </c>
      <c r="Q490" s="37" t="s">
        <v>1539</v>
      </c>
    </row>
    <row r="491" spans="1:17" ht="15">
      <c r="A491">
        <v>489</v>
      </c>
      <c r="B491" s="37" t="s">
        <v>1281</v>
      </c>
      <c r="C491" s="37" t="s">
        <v>1540</v>
      </c>
      <c r="D491" s="37" t="s">
        <v>1541</v>
      </c>
      <c r="E491" s="37">
        <v>3</v>
      </c>
      <c r="F491" s="37" t="s">
        <v>77</v>
      </c>
      <c r="G491" s="37" t="s">
        <v>77</v>
      </c>
      <c r="H491" s="37" t="s">
        <v>77</v>
      </c>
      <c r="I491" s="37" t="s">
        <v>77</v>
      </c>
      <c r="J491" s="37" t="s">
        <v>77</v>
      </c>
      <c r="K491" s="37" t="s">
        <v>77</v>
      </c>
      <c r="L491" s="37" t="s">
        <v>77</v>
      </c>
      <c r="M491" s="37" t="s">
        <v>77</v>
      </c>
      <c r="N491" s="37" t="s">
        <v>77</v>
      </c>
      <c r="O491" s="37" t="s">
        <v>77</v>
      </c>
      <c r="P491" s="37" t="s">
        <v>77</v>
      </c>
      <c r="Q491" s="37" t="s">
        <v>1542</v>
      </c>
    </row>
    <row r="492" spans="1:17" ht="15">
      <c r="A492">
        <v>490</v>
      </c>
      <c r="B492" s="37" t="s">
        <v>1281</v>
      </c>
      <c r="C492" s="37" t="s">
        <v>1543</v>
      </c>
      <c r="D492" s="37" t="s">
        <v>1544</v>
      </c>
      <c r="E492" s="37">
        <v>3</v>
      </c>
      <c r="F492" s="37" t="s">
        <v>77</v>
      </c>
      <c r="G492" s="37" t="s">
        <v>77</v>
      </c>
      <c r="H492" s="37" t="s">
        <v>77</v>
      </c>
      <c r="I492" s="37" t="s">
        <v>77</v>
      </c>
      <c r="J492" s="37" t="s">
        <v>77</v>
      </c>
      <c r="K492" s="37" t="s">
        <v>77</v>
      </c>
      <c r="L492" s="37" t="s">
        <v>77</v>
      </c>
      <c r="M492" s="37" t="s">
        <v>77</v>
      </c>
      <c r="N492" s="37" t="s">
        <v>77</v>
      </c>
      <c r="O492" s="37" t="s">
        <v>77</v>
      </c>
      <c r="P492" s="37" t="s">
        <v>77</v>
      </c>
      <c r="Q492" s="37" t="s">
        <v>1545</v>
      </c>
    </row>
    <row r="493" spans="1:17" ht="15">
      <c r="A493">
        <v>491</v>
      </c>
      <c r="B493" s="37" t="s">
        <v>1281</v>
      </c>
      <c r="C493" s="37" t="s">
        <v>1546</v>
      </c>
      <c r="D493" s="37" t="s">
        <v>1547</v>
      </c>
      <c r="E493" s="37">
        <v>3</v>
      </c>
      <c r="F493" s="37" t="s">
        <v>77</v>
      </c>
      <c r="G493" s="37" t="s">
        <v>77</v>
      </c>
      <c r="H493" s="37" t="s">
        <v>77</v>
      </c>
      <c r="I493" s="37" t="s">
        <v>77</v>
      </c>
      <c r="J493" s="37" t="s">
        <v>77</v>
      </c>
      <c r="K493" s="37" t="s">
        <v>77</v>
      </c>
      <c r="L493" s="37" t="s">
        <v>77</v>
      </c>
      <c r="M493" s="37" t="s">
        <v>77</v>
      </c>
      <c r="N493" s="37" t="s">
        <v>77</v>
      </c>
      <c r="O493" s="37" t="s">
        <v>77</v>
      </c>
      <c r="P493" s="37" t="s">
        <v>77</v>
      </c>
      <c r="Q493" s="37" t="s">
        <v>1548</v>
      </c>
    </row>
    <row r="494" spans="1:17" ht="15">
      <c r="A494">
        <v>492</v>
      </c>
      <c r="B494" s="37" t="s">
        <v>1281</v>
      </c>
      <c r="C494" s="37" t="s">
        <v>1549</v>
      </c>
      <c r="D494" s="37" t="s">
        <v>1550</v>
      </c>
      <c r="E494" s="37">
        <v>3</v>
      </c>
      <c r="F494" s="37" t="s">
        <v>77</v>
      </c>
      <c r="G494" s="37" t="s">
        <v>77</v>
      </c>
      <c r="H494" s="37" t="s">
        <v>77</v>
      </c>
      <c r="I494" s="37" t="s">
        <v>77</v>
      </c>
      <c r="J494" s="37" t="s">
        <v>77</v>
      </c>
      <c r="K494" s="37" t="s">
        <v>77</v>
      </c>
      <c r="L494" s="37" t="s">
        <v>77</v>
      </c>
      <c r="M494" s="37" t="s">
        <v>77</v>
      </c>
      <c r="N494" s="37" t="s">
        <v>77</v>
      </c>
      <c r="O494" s="37" t="s">
        <v>77</v>
      </c>
      <c r="P494" s="37" t="s">
        <v>77</v>
      </c>
      <c r="Q494" s="37" t="s">
        <v>1551</v>
      </c>
    </row>
    <row r="495" spans="1:17" ht="15">
      <c r="A495">
        <v>493</v>
      </c>
      <c r="B495" s="37" t="s">
        <v>1281</v>
      </c>
      <c r="C495" s="37" t="s">
        <v>1552</v>
      </c>
      <c r="D495" s="37" t="s">
        <v>1553</v>
      </c>
      <c r="E495" s="37">
        <v>3</v>
      </c>
      <c r="F495" s="37" t="s">
        <v>77</v>
      </c>
      <c r="G495" s="37" t="s">
        <v>77</v>
      </c>
      <c r="H495" s="37" t="s">
        <v>77</v>
      </c>
      <c r="I495" s="37" t="s">
        <v>77</v>
      </c>
      <c r="J495" s="37" t="s">
        <v>77</v>
      </c>
      <c r="K495" s="37" t="s">
        <v>77</v>
      </c>
      <c r="L495" s="37" t="s">
        <v>77</v>
      </c>
      <c r="M495" s="37" t="s">
        <v>77</v>
      </c>
      <c r="N495" s="37" t="s">
        <v>77</v>
      </c>
      <c r="O495" s="37" t="s">
        <v>77</v>
      </c>
      <c r="P495" s="37" t="s">
        <v>77</v>
      </c>
      <c r="Q495" s="37" t="s">
        <v>1554</v>
      </c>
    </row>
    <row r="496" spans="1:17" ht="15">
      <c r="A496">
        <v>494</v>
      </c>
      <c r="B496" s="37" t="s">
        <v>1281</v>
      </c>
      <c r="C496" s="37" t="s">
        <v>1555</v>
      </c>
      <c r="D496" s="37" t="s">
        <v>1556</v>
      </c>
      <c r="E496" s="37">
        <v>3</v>
      </c>
      <c r="F496" s="37" t="s">
        <v>77</v>
      </c>
      <c r="G496" s="37" t="s">
        <v>77</v>
      </c>
      <c r="H496" s="37" t="s">
        <v>77</v>
      </c>
      <c r="I496" s="37" t="s">
        <v>77</v>
      </c>
      <c r="J496" s="37" t="s">
        <v>77</v>
      </c>
      <c r="K496" s="37" t="s">
        <v>77</v>
      </c>
      <c r="L496" s="37" t="s">
        <v>77</v>
      </c>
      <c r="M496" s="37" t="s">
        <v>77</v>
      </c>
      <c r="N496" s="37" t="s">
        <v>77</v>
      </c>
      <c r="O496" s="37" t="s">
        <v>77</v>
      </c>
      <c r="P496" s="37" t="s">
        <v>77</v>
      </c>
      <c r="Q496" s="37" t="s">
        <v>1557</v>
      </c>
    </row>
    <row r="497" spans="1:17" ht="15">
      <c r="A497">
        <v>495</v>
      </c>
      <c r="B497" s="37" t="s">
        <v>1281</v>
      </c>
      <c r="C497" s="37" t="s">
        <v>1558</v>
      </c>
      <c r="D497" s="37" t="s">
        <v>1559</v>
      </c>
      <c r="E497" s="37">
        <v>3</v>
      </c>
      <c r="F497" s="37" t="s">
        <v>77</v>
      </c>
      <c r="G497" s="37" t="s">
        <v>77</v>
      </c>
      <c r="H497" s="37" t="s">
        <v>77</v>
      </c>
      <c r="I497" s="37" t="s">
        <v>77</v>
      </c>
      <c r="J497" s="37" t="s">
        <v>77</v>
      </c>
      <c r="K497" s="37" t="s">
        <v>77</v>
      </c>
      <c r="L497" s="37" t="s">
        <v>77</v>
      </c>
      <c r="M497" s="37" t="s">
        <v>77</v>
      </c>
      <c r="N497" s="37" t="s">
        <v>77</v>
      </c>
      <c r="O497" s="37" t="s">
        <v>77</v>
      </c>
      <c r="P497" s="37" t="s">
        <v>77</v>
      </c>
      <c r="Q497" s="37" t="s">
        <v>1560</v>
      </c>
    </row>
    <row r="498" spans="1:17" ht="15">
      <c r="A498">
        <v>496</v>
      </c>
      <c r="B498" s="37" t="s">
        <v>1281</v>
      </c>
      <c r="C498" s="37" t="s">
        <v>1561</v>
      </c>
      <c r="D498" s="37" t="s">
        <v>1562</v>
      </c>
      <c r="E498" s="37">
        <v>3</v>
      </c>
      <c r="F498" s="37" t="s">
        <v>77</v>
      </c>
      <c r="G498" s="37" t="s">
        <v>77</v>
      </c>
      <c r="H498" s="37" t="s">
        <v>77</v>
      </c>
      <c r="I498" s="37" t="s">
        <v>77</v>
      </c>
      <c r="J498" s="37" t="s">
        <v>77</v>
      </c>
      <c r="K498" s="37" t="s">
        <v>77</v>
      </c>
      <c r="L498" s="37" t="s">
        <v>77</v>
      </c>
      <c r="M498" s="37" t="s">
        <v>77</v>
      </c>
      <c r="N498" s="37" t="s">
        <v>77</v>
      </c>
      <c r="O498" s="37" t="s">
        <v>77</v>
      </c>
      <c r="P498" s="37" t="s">
        <v>77</v>
      </c>
      <c r="Q498" s="37" t="s">
        <v>1563</v>
      </c>
    </row>
    <row r="499" spans="1:17" ht="15">
      <c r="A499">
        <v>497</v>
      </c>
      <c r="B499" s="37" t="s">
        <v>1281</v>
      </c>
      <c r="C499" s="37" t="s">
        <v>1564</v>
      </c>
      <c r="D499" s="37" t="s">
        <v>1565</v>
      </c>
      <c r="E499" s="37">
        <v>3</v>
      </c>
      <c r="F499" s="37" t="s">
        <v>77</v>
      </c>
      <c r="G499" s="37" t="s">
        <v>77</v>
      </c>
      <c r="H499" s="37" t="s">
        <v>77</v>
      </c>
      <c r="I499" s="37" t="s">
        <v>77</v>
      </c>
      <c r="J499" s="37" t="s">
        <v>77</v>
      </c>
      <c r="K499" s="37" t="s">
        <v>77</v>
      </c>
      <c r="L499" s="37" t="s">
        <v>77</v>
      </c>
      <c r="M499" s="37" t="s">
        <v>77</v>
      </c>
      <c r="N499" s="37" t="s">
        <v>77</v>
      </c>
      <c r="O499" s="37" t="s">
        <v>77</v>
      </c>
      <c r="P499" s="37" t="s">
        <v>77</v>
      </c>
      <c r="Q499" s="37" t="s">
        <v>1566</v>
      </c>
    </row>
    <row r="500" spans="1:17" ht="15">
      <c r="A500">
        <v>498</v>
      </c>
      <c r="B500" s="37" t="s">
        <v>1281</v>
      </c>
      <c r="C500" s="37" t="s">
        <v>1567</v>
      </c>
      <c r="D500" s="37" t="s">
        <v>1568</v>
      </c>
      <c r="E500" s="37">
        <v>3</v>
      </c>
      <c r="F500" s="37" t="s">
        <v>77</v>
      </c>
      <c r="G500" s="37" t="s">
        <v>77</v>
      </c>
      <c r="H500" s="37" t="s">
        <v>77</v>
      </c>
      <c r="I500" s="37" t="s">
        <v>77</v>
      </c>
      <c r="J500" s="37" t="s">
        <v>77</v>
      </c>
      <c r="K500" s="37" t="s">
        <v>77</v>
      </c>
      <c r="L500" s="37" t="s">
        <v>77</v>
      </c>
      <c r="M500" s="37" t="s">
        <v>77</v>
      </c>
      <c r="N500" s="37" t="s">
        <v>77</v>
      </c>
      <c r="O500" s="37" t="s">
        <v>77</v>
      </c>
      <c r="P500" s="37" t="s">
        <v>77</v>
      </c>
      <c r="Q500" s="37" t="s">
        <v>1569</v>
      </c>
    </row>
    <row r="501" spans="1:17" ht="15">
      <c r="A501">
        <v>499</v>
      </c>
      <c r="B501" s="37" t="s">
        <v>1281</v>
      </c>
      <c r="C501" s="37" t="s">
        <v>1570</v>
      </c>
      <c r="D501" s="37" t="s">
        <v>1571</v>
      </c>
      <c r="E501" s="37">
        <v>3</v>
      </c>
      <c r="F501" s="37" t="s">
        <v>77</v>
      </c>
      <c r="G501" s="37" t="s">
        <v>77</v>
      </c>
      <c r="H501" s="37" t="s">
        <v>77</v>
      </c>
      <c r="I501" s="37" t="s">
        <v>77</v>
      </c>
      <c r="J501" s="37" t="s">
        <v>77</v>
      </c>
      <c r="K501" s="37" t="s">
        <v>77</v>
      </c>
      <c r="L501" s="37" t="s">
        <v>77</v>
      </c>
      <c r="M501" s="37" t="s">
        <v>77</v>
      </c>
      <c r="N501" s="37" t="s">
        <v>77</v>
      </c>
      <c r="O501" s="37" t="s">
        <v>77</v>
      </c>
      <c r="P501" s="37" t="s">
        <v>77</v>
      </c>
      <c r="Q501" s="37" t="s">
        <v>1572</v>
      </c>
    </row>
    <row r="502" spans="1:17" ht="15">
      <c r="A502">
        <v>500</v>
      </c>
      <c r="B502" s="37" t="s">
        <v>1281</v>
      </c>
      <c r="C502" s="37" t="s">
        <v>1573</v>
      </c>
      <c r="D502" s="37" t="s">
        <v>1574</v>
      </c>
      <c r="E502" s="37">
        <v>3</v>
      </c>
      <c r="F502" s="37" t="s">
        <v>77</v>
      </c>
      <c r="G502" s="37" t="s">
        <v>77</v>
      </c>
      <c r="H502" s="37" t="s">
        <v>77</v>
      </c>
      <c r="I502" s="37" t="s">
        <v>77</v>
      </c>
      <c r="J502" s="37" t="s">
        <v>77</v>
      </c>
      <c r="K502" s="37" t="s">
        <v>77</v>
      </c>
      <c r="L502" s="37" t="s">
        <v>77</v>
      </c>
      <c r="M502" s="37" t="s">
        <v>77</v>
      </c>
      <c r="N502" s="37" t="s">
        <v>77</v>
      </c>
      <c r="O502" s="37" t="s">
        <v>77</v>
      </c>
      <c r="P502" s="37" t="s">
        <v>77</v>
      </c>
      <c r="Q502" s="37" t="s">
        <v>1575</v>
      </c>
    </row>
    <row r="503" spans="1:17" ht="15">
      <c r="A503">
        <v>501</v>
      </c>
      <c r="B503" s="37" t="s">
        <v>1281</v>
      </c>
      <c r="C503" s="37" t="s">
        <v>1576</v>
      </c>
      <c r="D503" s="37" t="s">
        <v>1577</v>
      </c>
      <c r="E503" s="37">
        <v>3</v>
      </c>
      <c r="F503" s="37" t="s">
        <v>77</v>
      </c>
      <c r="G503" s="37" t="s">
        <v>77</v>
      </c>
      <c r="H503" s="37" t="s">
        <v>77</v>
      </c>
      <c r="I503" s="37" t="s">
        <v>77</v>
      </c>
      <c r="J503" s="37" t="s">
        <v>77</v>
      </c>
      <c r="K503" s="37" t="s">
        <v>77</v>
      </c>
      <c r="L503" s="37" t="s">
        <v>77</v>
      </c>
      <c r="M503" s="37" t="s">
        <v>77</v>
      </c>
      <c r="N503" s="37" t="s">
        <v>77</v>
      </c>
      <c r="O503" s="37" t="s">
        <v>77</v>
      </c>
      <c r="P503" s="37" t="s">
        <v>77</v>
      </c>
      <c r="Q503" s="37" t="s">
        <v>1578</v>
      </c>
    </row>
    <row r="504" spans="1:17" ht="15">
      <c r="A504">
        <v>502</v>
      </c>
      <c r="B504" s="37" t="s">
        <v>1281</v>
      </c>
      <c r="C504" s="37" t="s">
        <v>1579</v>
      </c>
      <c r="D504" s="37" t="s">
        <v>1580</v>
      </c>
      <c r="E504" s="37">
        <v>3</v>
      </c>
      <c r="F504" s="37" t="s">
        <v>77</v>
      </c>
      <c r="G504" s="37" t="s">
        <v>77</v>
      </c>
      <c r="H504" s="37" t="s">
        <v>77</v>
      </c>
      <c r="I504" s="37" t="s">
        <v>77</v>
      </c>
      <c r="J504" s="37" t="s">
        <v>77</v>
      </c>
      <c r="K504" s="37" t="s">
        <v>77</v>
      </c>
      <c r="L504" s="37" t="s">
        <v>77</v>
      </c>
      <c r="M504" s="37" t="s">
        <v>77</v>
      </c>
      <c r="N504" s="37" t="s">
        <v>77</v>
      </c>
      <c r="O504" s="37" t="s">
        <v>77</v>
      </c>
      <c r="P504" s="37" t="s">
        <v>77</v>
      </c>
      <c r="Q504" s="37" t="s">
        <v>1581</v>
      </c>
    </row>
    <row r="505" spans="1:17" ht="15">
      <c r="A505">
        <v>503</v>
      </c>
      <c r="B505" s="37" t="s">
        <v>1281</v>
      </c>
      <c r="C505" s="37" t="s">
        <v>1582</v>
      </c>
      <c r="D505" s="37" t="s">
        <v>1583</v>
      </c>
      <c r="E505" s="37">
        <v>3</v>
      </c>
      <c r="F505" s="37" t="s">
        <v>77</v>
      </c>
      <c r="G505" s="37" t="s">
        <v>77</v>
      </c>
      <c r="H505" s="37" t="s">
        <v>77</v>
      </c>
      <c r="I505" s="37" t="s">
        <v>77</v>
      </c>
      <c r="J505" s="37" t="s">
        <v>77</v>
      </c>
      <c r="K505" s="37" t="s">
        <v>77</v>
      </c>
      <c r="L505" s="37" t="s">
        <v>77</v>
      </c>
      <c r="M505" s="37" t="s">
        <v>77</v>
      </c>
      <c r="N505" s="37" t="s">
        <v>77</v>
      </c>
      <c r="O505" s="37" t="s">
        <v>77</v>
      </c>
      <c r="P505" s="37" t="s">
        <v>77</v>
      </c>
      <c r="Q505" s="37" t="s">
        <v>1584</v>
      </c>
    </row>
    <row r="506" spans="1:17" ht="15">
      <c r="A506">
        <v>504</v>
      </c>
      <c r="B506" s="37" t="s">
        <v>1585</v>
      </c>
      <c r="C506" s="37" t="s">
        <v>1586</v>
      </c>
      <c r="D506" s="37" t="s">
        <v>1587</v>
      </c>
      <c r="E506" s="37">
        <v>3</v>
      </c>
      <c r="F506" s="37" t="s">
        <v>77</v>
      </c>
      <c r="G506" s="37" t="s">
        <v>77</v>
      </c>
      <c r="H506" s="37" t="s">
        <v>77</v>
      </c>
      <c r="I506" s="37" t="s">
        <v>77</v>
      </c>
      <c r="J506" s="37" t="s">
        <v>77</v>
      </c>
      <c r="K506" s="37" t="s">
        <v>77</v>
      </c>
      <c r="L506" s="37" t="s">
        <v>77</v>
      </c>
      <c r="M506" s="37" t="s">
        <v>77</v>
      </c>
      <c r="N506" s="37" t="s">
        <v>77</v>
      </c>
      <c r="O506" s="37" t="s">
        <v>77</v>
      </c>
      <c r="P506" s="37" t="s">
        <v>77</v>
      </c>
      <c r="Q506" s="37" t="s">
        <v>1588</v>
      </c>
    </row>
    <row r="507" spans="1:17" ht="15">
      <c r="A507">
        <v>505</v>
      </c>
      <c r="B507" s="37" t="s">
        <v>1585</v>
      </c>
      <c r="C507" s="37" t="s">
        <v>1589</v>
      </c>
      <c r="D507" s="37" t="s">
        <v>1590</v>
      </c>
      <c r="E507" s="37">
        <v>3</v>
      </c>
      <c r="F507" s="37" t="s">
        <v>77</v>
      </c>
      <c r="G507" s="37" t="s">
        <v>77</v>
      </c>
      <c r="H507" s="37" t="s">
        <v>77</v>
      </c>
      <c r="I507" s="37" t="s">
        <v>77</v>
      </c>
      <c r="J507" s="37" t="s">
        <v>77</v>
      </c>
      <c r="K507" s="37" t="s">
        <v>77</v>
      </c>
      <c r="L507" s="37" t="s">
        <v>77</v>
      </c>
      <c r="M507" s="37" t="s">
        <v>77</v>
      </c>
      <c r="N507" s="37" t="s">
        <v>77</v>
      </c>
      <c r="O507" s="37" t="s">
        <v>77</v>
      </c>
      <c r="P507" s="37" t="s">
        <v>78</v>
      </c>
      <c r="Q507" s="37" t="s">
        <v>1591</v>
      </c>
    </row>
    <row r="508" spans="1:17" ht="15">
      <c r="A508">
        <v>506</v>
      </c>
      <c r="B508" s="37" t="s">
        <v>1585</v>
      </c>
      <c r="C508" s="37" t="s">
        <v>1592</v>
      </c>
      <c r="D508" s="37" t="s">
        <v>1593</v>
      </c>
      <c r="E508" s="37">
        <v>3</v>
      </c>
      <c r="F508" s="37" t="s">
        <v>77</v>
      </c>
      <c r="G508" s="37" t="s">
        <v>77</v>
      </c>
      <c r="H508" s="37" t="s">
        <v>77</v>
      </c>
      <c r="I508" s="37" t="s">
        <v>77</v>
      </c>
      <c r="J508" s="37" t="s">
        <v>77</v>
      </c>
      <c r="K508" s="37" t="s">
        <v>77</v>
      </c>
      <c r="L508" s="37" t="s">
        <v>77</v>
      </c>
      <c r="M508" s="37" t="s">
        <v>77</v>
      </c>
      <c r="N508" s="37" t="s">
        <v>77</v>
      </c>
      <c r="O508" s="37" t="s">
        <v>77</v>
      </c>
      <c r="P508" s="37" t="s">
        <v>77</v>
      </c>
      <c r="Q508" s="37" t="s">
        <v>1594</v>
      </c>
    </row>
    <row r="509" spans="1:17" ht="15">
      <c r="A509">
        <v>507</v>
      </c>
      <c r="B509" s="37" t="s">
        <v>1585</v>
      </c>
      <c r="C509" s="37" t="s">
        <v>1595</v>
      </c>
      <c r="D509" s="37" t="s">
        <v>1596</v>
      </c>
      <c r="E509" s="37">
        <v>3</v>
      </c>
      <c r="F509" s="37" t="s">
        <v>77</v>
      </c>
      <c r="G509" s="37" t="s">
        <v>77</v>
      </c>
      <c r="H509" s="37" t="s">
        <v>77</v>
      </c>
      <c r="I509" s="37" t="s">
        <v>77</v>
      </c>
      <c r="J509" s="37" t="s">
        <v>77</v>
      </c>
      <c r="K509" s="37" t="s">
        <v>77</v>
      </c>
      <c r="L509" s="37" t="s">
        <v>77</v>
      </c>
      <c r="M509" s="37" t="s">
        <v>77</v>
      </c>
      <c r="N509" s="37" t="s">
        <v>77</v>
      </c>
      <c r="O509" s="37" t="s">
        <v>77</v>
      </c>
      <c r="P509" s="37" t="s">
        <v>77</v>
      </c>
      <c r="Q509" s="37" t="s">
        <v>1597</v>
      </c>
    </row>
    <row r="510" spans="1:17" ht="15">
      <c r="A510">
        <v>508</v>
      </c>
      <c r="B510" s="37" t="s">
        <v>1585</v>
      </c>
      <c r="C510" s="37" t="s">
        <v>1598</v>
      </c>
      <c r="D510" s="37" t="s">
        <v>1599</v>
      </c>
      <c r="E510" s="37">
        <v>3</v>
      </c>
      <c r="F510" s="37" t="s">
        <v>77</v>
      </c>
      <c r="G510" s="37" t="s">
        <v>77</v>
      </c>
      <c r="H510" s="37" t="s">
        <v>77</v>
      </c>
      <c r="I510" s="37" t="s">
        <v>77</v>
      </c>
      <c r="J510" s="37" t="s">
        <v>77</v>
      </c>
      <c r="K510" s="37" t="s">
        <v>77</v>
      </c>
      <c r="L510" s="37" t="s">
        <v>77</v>
      </c>
      <c r="M510" s="37" t="s">
        <v>77</v>
      </c>
      <c r="N510" s="37" t="s">
        <v>77</v>
      </c>
      <c r="O510" s="37" t="s">
        <v>77</v>
      </c>
      <c r="P510" s="37" t="s">
        <v>77</v>
      </c>
      <c r="Q510" s="37" t="s">
        <v>1600</v>
      </c>
    </row>
    <row r="511" spans="1:17" ht="15">
      <c r="A511">
        <v>509</v>
      </c>
      <c r="B511" s="37" t="s">
        <v>1585</v>
      </c>
      <c r="C511" s="37" t="s">
        <v>1601</v>
      </c>
      <c r="D511" s="37" t="s">
        <v>1602</v>
      </c>
      <c r="E511" s="37">
        <v>3</v>
      </c>
      <c r="F511" s="37" t="s">
        <v>77</v>
      </c>
      <c r="G511" s="37" t="s">
        <v>77</v>
      </c>
      <c r="H511" s="37" t="s">
        <v>77</v>
      </c>
      <c r="I511" s="37" t="s">
        <v>77</v>
      </c>
      <c r="J511" s="37" t="s">
        <v>77</v>
      </c>
      <c r="K511" s="37" t="s">
        <v>77</v>
      </c>
      <c r="L511" s="37" t="s">
        <v>77</v>
      </c>
      <c r="M511" s="37" t="s">
        <v>77</v>
      </c>
      <c r="N511" s="37" t="s">
        <v>77</v>
      </c>
      <c r="O511" s="37" t="s">
        <v>77</v>
      </c>
      <c r="P511" s="37" t="s">
        <v>77</v>
      </c>
      <c r="Q511" s="37" t="s">
        <v>1603</v>
      </c>
    </row>
    <row r="512" spans="1:17" ht="15">
      <c r="A512">
        <v>510</v>
      </c>
      <c r="B512" s="37" t="s">
        <v>1585</v>
      </c>
      <c r="C512" s="37" t="s">
        <v>1604</v>
      </c>
      <c r="D512" s="37" t="s">
        <v>1605</v>
      </c>
      <c r="E512" s="37">
        <v>3</v>
      </c>
      <c r="F512" s="37" t="s">
        <v>77</v>
      </c>
      <c r="G512" s="37" t="s">
        <v>77</v>
      </c>
      <c r="H512" s="37" t="s">
        <v>77</v>
      </c>
      <c r="I512" s="37" t="s">
        <v>77</v>
      </c>
      <c r="J512" s="37" t="s">
        <v>77</v>
      </c>
      <c r="K512" s="37" t="s">
        <v>77</v>
      </c>
      <c r="L512" s="37" t="s">
        <v>77</v>
      </c>
      <c r="M512" s="37" t="s">
        <v>77</v>
      </c>
      <c r="N512" s="37" t="s">
        <v>77</v>
      </c>
      <c r="O512" s="37" t="s">
        <v>77</v>
      </c>
      <c r="P512" s="37" t="s">
        <v>77</v>
      </c>
      <c r="Q512" s="37" t="s">
        <v>1606</v>
      </c>
    </row>
    <row r="513" spans="1:17" ht="15">
      <c r="A513">
        <v>511</v>
      </c>
      <c r="B513" s="37" t="s">
        <v>1585</v>
      </c>
      <c r="C513" s="37" t="s">
        <v>1607</v>
      </c>
      <c r="D513" s="37" t="s">
        <v>1608</v>
      </c>
      <c r="E513" s="37">
        <v>3</v>
      </c>
      <c r="F513" s="37" t="s">
        <v>77</v>
      </c>
      <c r="G513" s="37" t="s">
        <v>77</v>
      </c>
      <c r="H513" s="37" t="s">
        <v>77</v>
      </c>
      <c r="I513" s="37" t="s">
        <v>77</v>
      </c>
      <c r="J513" s="37" t="s">
        <v>77</v>
      </c>
      <c r="K513" s="37" t="s">
        <v>77</v>
      </c>
      <c r="L513" s="37" t="s">
        <v>77</v>
      </c>
      <c r="M513" s="37" t="s">
        <v>77</v>
      </c>
      <c r="N513" s="37" t="s">
        <v>77</v>
      </c>
      <c r="O513" s="37" t="s">
        <v>77</v>
      </c>
      <c r="P513" s="37" t="s">
        <v>77</v>
      </c>
      <c r="Q513" s="37" t="s">
        <v>1609</v>
      </c>
    </row>
    <row r="514" spans="1:17" ht="15">
      <c r="A514">
        <v>512</v>
      </c>
      <c r="B514" s="37" t="s">
        <v>1610</v>
      </c>
      <c r="C514" s="37" t="s">
        <v>1611</v>
      </c>
      <c r="D514" s="37" t="s">
        <v>1612</v>
      </c>
      <c r="E514" s="37">
        <v>3</v>
      </c>
      <c r="F514" s="37" t="s">
        <v>1613</v>
      </c>
      <c r="G514" s="37" t="s">
        <v>1613</v>
      </c>
      <c r="H514" s="37" t="s">
        <v>1613</v>
      </c>
      <c r="I514" s="37" t="s">
        <v>1613</v>
      </c>
      <c r="J514" s="37" t="s">
        <v>1613</v>
      </c>
      <c r="K514" s="37" t="s">
        <v>1613</v>
      </c>
      <c r="L514" s="37" t="s">
        <v>1613</v>
      </c>
      <c r="M514" s="37" t="s">
        <v>1613</v>
      </c>
      <c r="N514" s="37" t="s">
        <v>1613</v>
      </c>
      <c r="O514" s="37" t="s">
        <v>1613</v>
      </c>
      <c r="P514" s="37" t="s">
        <v>1613</v>
      </c>
      <c r="Q514" s="37" t="s">
        <v>1614</v>
      </c>
    </row>
    <row r="515" spans="1:17" ht="15">
      <c r="A515">
        <v>513</v>
      </c>
      <c r="B515" s="37" t="s">
        <v>1610</v>
      </c>
      <c r="C515" s="37" t="s">
        <v>1615</v>
      </c>
      <c r="D515" s="37" t="s">
        <v>1616</v>
      </c>
      <c r="E515" s="37">
        <v>3</v>
      </c>
      <c r="F515" s="37" t="s">
        <v>1613</v>
      </c>
      <c r="G515" s="37" t="s">
        <v>1613</v>
      </c>
      <c r="H515" s="37" t="s">
        <v>1613</v>
      </c>
      <c r="I515" s="37" t="s">
        <v>1613</v>
      </c>
      <c r="J515" s="37" t="s">
        <v>1613</v>
      </c>
      <c r="K515" s="37" t="s">
        <v>1613</v>
      </c>
      <c r="L515" s="37" t="s">
        <v>1613</v>
      </c>
      <c r="M515" s="37" t="s">
        <v>1613</v>
      </c>
      <c r="N515" s="37" t="s">
        <v>1613</v>
      </c>
      <c r="O515" s="37" t="s">
        <v>1613</v>
      </c>
      <c r="P515" s="37" t="s">
        <v>1613</v>
      </c>
      <c r="Q515" s="37" t="s">
        <v>1617</v>
      </c>
    </row>
    <row r="516" spans="1:17" ht="15">
      <c r="A516">
        <v>514</v>
      </c>
      <c r="B516" s="37" t="s">
        <v>1610</v>
      </c>
      <c r="C516" s="37" t="s">
        <v>1618</v>
      </c>
      <c r="D516" s="37" t="s">
        <v>1619</v>
      </c>
      <c r="E516" s="37">
        <v>3</v>
      </c>
      <c r="F516" s="37" t="s">
        <v>1613</v>
      </c>
      <c r="G516" s="37" t="s">
        <v>1613</v>
      </c>
      <c r="H516" s="37" t="s">
        <v>1613</v>
      </c>
      <c r="I516" s="37" t="s">
        <v>1613</v>
      </c>
      <c r="J516" s="37" t="s">
        <v>1613</v>
      </c>
      <c r="K516" s="37" t="s">
        <v>1613</v>
      </c>
      <c r="L516" s="37" t="s">
        <v>1613</v>
      </c>
      <c r="M516" s="37" t="s">
        <v>1613</v>
      </c>
      <c r="N516" s="37" t="s">
        <v>1613</v>
      </c>
      <c r="O516" s="37" t="s">
        <v>1613</v>
      </c>
      <c r="P516" s="37" t="s">
        <v>1613</v>
      </c>
      <c r="Q516" s="37" t="s">
        <v>1620</v>
      </c>
    </row>
    <row r="517" spans="1:17" ht="15">
      <c r="A517">
        <v>515</v>
      </c>
      <c r="B517" s="37" t="s">
        <v>1610</v>
      </c>
      <c r="C517" s="37" t="s">
        <v>1621</v>
      </c>
      <c r="D517" s="37" t="s">
        <v>1622</v>
      </c>
      <c r="E517" s="37">
        <v>3</v>
      </c>
      <c r="F517" s="37" t="s">
        <v>1613</v>
      </c>
      <c r="G517" s="37" t="s">
        <v>1613</v>
      </c>
      <c r="H517" s="37" t="s">
        <v>1613</v>
      </c>
      <c r="I517" s="37" t="s">
        <v>1613</v>
      </c>
      <c r="J517" s="37" t="s">
        <v>1613</v>
      </c>
      <c r="K517" s="37" t="s">
        <v>1613</v>
      </c>
      <c r="L517" s="37" t="s">
        <v>1613</v>
      </c>
      <c r="M517" s="37" t="s">
        <v>1613</v>
      </c>
      <c r="N517" s="37" t="s">
        <v>1613</v>
      </c>
      <c r="O517" s="37" t="s">
        <v>1613</v>
      </c>
      <c r="P517" s="37" t="s">
        <v>1613</v>
      </c>
      <c r="Q517" s="37" t="s">
        <v>1623</v>
      </c>
    </row>
    <row r="518" spans="1:17" ht="15">
      <c r="A518">
        <v>516</v>
      </c>
      <c r="B518" s="37" t="s">
        <v>1610</v>
      </c>
      <c r="C518" s="37" t="s">
        <v>1624</v>
      </c>
      <c r="D518" s="37" t="s">
        <v>1625</v>
      </c>
      <c r="E518" s="37">
        <v>3</v>
      </c>
      <c r="F518" s="37" t="s">
        <v>1613</v>
      </c>
      <c r="G518" s="37" t="s">
        <v>1613</v>
      </c>
      <c r="H518" s="37" t="s">
        <v>1613</v>
      </c>
      <c r="I518" s="37" t="s">
        <v>1613</v>
      </c>
      <c r="J518" s="37" t="s">
        <v>1613</v>
      </c>
      <c r="K518" s="37" t="s">
        <v>1613</v>
      </c>
      <c r="L518" s="37" t="s">
        <v>1613</v>
      </c>
      <c r="M518" s="37" t="s">
        <v>1613</v>
      </c>
      <c r="N518" s="37" t="s">
        <v>1613</v>
      </c>
      <c r="O518" s="37" t="s">
        <v>1613</v>
      </c>
      <c r="P518" s="37" t="s">
        <v>1613</v>
      </c>
      <c r="Q518" s="37" t="s">
        <v>1626</v>
      </c>
    </row>
    <row r="519" spans="1:17" ht="15">
      <c r="A519">
        <v>517</v>
      </c>
      <c r="B519" s="37" t="s">
        <v>1610</v>
      </c>
      <c r="C519" s="37" t="s">
        <v>1627</v>
      </c>
      <c r="D519" s="37" t="s">
        <v>1628</v>
      </c>
      <c r="E519" s="37">
        <v>3</v>
      </c>
      <c r="F519" s="37" t="s">
        <v>1613</v>
      </c>
      <c r="G519" s="37" t="s">
        <v>1613</v>
      </c>
      <c r="H519" s="37" t="s">
        <v>1613</v>
      </c>
      <c r="I519" s="37" t="s">
        <v>1613</v>
      </c>
      <c r="J519" s="37" t="s">
        <v>1613</v>
      </c>
      <c r="K519" s="37" t="s">
        <v>1613</v>
      </c>
      <c r="L519" s="37" t="s">
        <v>1613</v>
      </c>
      <c r="M519" s="37" t="s">
        <v>1613</v>
      </c>
      <c r="N519" s="37" t="s">
        <v>1613</v>
      </c>
      <c r="O519" s="37" t="s">
        <v>1613</v>
      </c>
      <c r="P519" s="37" t="s">
        <v>1613</v>
      </c>
      <c r="Q519" s="37" t="s">
        <v>1629</v>
      </c>
    </row>
    <row r="520" spans="1:17" ht="15">
      <c r="A520">
        <v>518</v>
      </c>
      <c r="B520" s="37" t="s">
        <v>1610</v>
      </c>
      <c r="C520" s="37" t="s">
        <v>1630</v>
      </c>
      <c r="D520" s="37" t="s">
        <v>1622</v>
      </c>
      <c r="E520" s="37">
        <v>3</v>
      </c>
      <c r="F520" s="37" t="s">
        <v>1613</v>
      </c>
      <c r="G520" s="37" t="s">
        <v>1613</v>
      </c>
      <c r="H520" s="37" t="s">
        <v>1613</v>
      </c>
      <c r="I520" s="37" t="s">
        <v>1613</v>
      </c>
      <c r="J520" s="37" t="s">
        <v>1613</v>
      </c>
      <c r="K520" s="37" t="s">
        <v>1613</v>
      </c>
      <c r="L520" s="37" t="s">
        <v>1613</v>
      </c>
      <c r="M520" s="37" t="s">
        <v>1613</v>
      </c>
      <c r="N520" s="37" t="s">
        <v>1613</v>
      </c>
      <c r="O520" s="37" t="s">
        <v>1613</v>
      </c>
      <c r="P520" s="37" t="s">
        <v>1613</v>
      </c>
      <c r="Q520" s="37" t="s">
        <v>1631</v>
      </c>
    </row>
    <row r="521" spans="1:17" ht="15">
      <c r="A521">
        <v>519</v>
      </c>
      <c r="B521" s="37" t="s">
        <v>1610</v>
      </c>
      <c r="C521" s="37" t="s">
        <v>1632</v>
      </c>
      <c r="D521" s="37" t="s">
        <v>1633</v>
      </c>
      <c r="E521" s="37">
        <v>3</v>
      </c>
      <c r="F521" s="37" t="s">
        <v>1613</v>
      </c>
      <c r="G521" s="37" t="s">
        <v>1613</v>
      </c>
      <c r="H521" s="37" t="s">
        <v>1613</v>
      </c>
      <c r="I521" s="37" t="s">
        <v>1613</v>
      </c>
      <c r="J521" s="37" t="s">
        <v>1613</v>
      </c>
      <c r="K521" s="37" t="s">
        <v>1613</v>
      </c>
      <c r="L521" s="37" t="s">
        <v>1613</v>
      </c>
      <c r="M521" s="37" t="s">
        <v>1613</v>
      </c>
      <c r="N521" s="37" t="s">
        <v>1613</v>
      </c>
      <c r="O521" s="37" t="s">
        <v>1613</v>
      </c>
      <c r="P521" s="37" t="s">
        <v>1613</v>
      </c>
      <c r="Q521" s="37" t="s">
        <v>1634</v>
      </c>
    </row>
    <row r="522" spans="1:17" ht="15">
      <c r="A522">
        <v>520</v>
      </c>
      <c r="B522" s="37" t="s">
        <v>1610</v>
      </c>
      <c r="C522" s="37" t="s">
        <v>1635</v>
      </c>
      <c r="D522" s="37" t="s">
        <v>1636</v>
      </c>
      <c r="E522" s="37">
        <v>3</v>
      </c>
      <c r="F522" s="37" t="s">
        <v>1613</v>
      </c>
      <c r="G522" s="37" t="s">
        <v>1613</v>
      </c>
      <c r="H522" s="37" t="s">
        <v>1613</v>
      </c>
      <c r="I522" s="37" t="s">
        <v>1613</v>
      </c>
      <c r="J522" s="37" t="s">
        <v>1613</v>
      </c>
      <c r="K522" s="37" t="s">
        <v>1613</v>
      </c>
      <c r="L522" s="37" t="s">
        <v>1613</v>
      </c>
      <c r="M522" s="37" t="s">
        <v>1613</v>
      </c>
      <c r="N522" s="37" t="s">
        <v>1613</v>
      </c>
      <c r="O522" s="37" t="s">
        <v>1613</v>
      </c>
      <c r="P522" s="37" t="s">
        <v>1613</v>
      </c>
      <c r="Q522" s="37" t="s">
        <v>1637</v>
      </c>
    </row>
    <row r="523" spans="1:17" ht="15">
      <c r="A523">
        <v>521</v>
      </c>
      <c r="B523" s="37" t="s">
        <v>1610</v>
      </c>
      <c r="C523" s="37" t="s">
        <v>1638</v>
      </c>
      <c r="D523" s="37" t="s">
        <v>1355</v>
      </c>
      <c r="E523" s="37">
        <v>3</v>
      </c>
      <c r="F523" s="37" t="s">
        <v>1613</v>
      </c>
      <c r="G523" s="37" t="s">
        <v>1613</v>
      </c>
      <c r="H523" s="37" t="s">
        <v>1613</v>
      </c>
      <c r="I523" s="37" t="s">
        <v>1613</v>
      </c>
      <c r="J523" s="37" t="s">
        <v>1613</v>
      </c>
      <c r="K523" s="37" t="s">
        <v>1613</v>
      </c>
      <c r="L523" s="37" t="s">
        <v>1613</v>
      </c>
      <c r="M523" s="37" t="s">
        <v>1613</v>
      </c>
      <c r="N523" s="37" t="s">
        <v>1613</v>
      </c>
      <c r="O523" s="37" t="s">
        <v>1613</v>
      </c>
      <c r="P523" s="37" t="s">
        <v>1613</v>
      </c>
      <c r="Q523" s="37" t="s">
        <v>1639</v>
      </c>
    </row>
    <row r="524" spans="1:17" ht="15">
      <c r="A524">
        <v>522</v>
      </c>
      <c r="B524" s="37" t="s">
        <v>1610</v>
      </c>
      <c r="C524" s="37" t="s">
        <v>1640</v>
      </c>
      <c r="D524" s="37" t="s">
        <v>1641</v>
      </c>
      <c r="E524" s="37">
        <v>3</v>
      </c>
      <c r="F524" s="37" t="s">
        <v>1613</v>
      </c>
      <c r="G524" s="37" t="s">
        <v>1613</v>
      </c>
      <c r="H524" s="37" t="s">
        <v>1613</v>
      </c>
      <c r="I524" s="37" t="s">
        <v>1613</v>
      </c>
      <c r="J524" s="37" t="s">
        <v>1613</v>
      </c>
      <c r="K524" s="37" t="s">
        <v>1613</v>
      </c>
      <c r="L524" s="37" t="s">
        <v>1613</v>
      </c>
      <c r="M524" s="37" t="s">
        <v>1613</v>
      </c>
      <c r="N524" s="37" t="s">
        <v>1613</v>
      </c>
      <c r="O524" s="37" t="s">
        <v>1613</v>
      </c>
      <c r="P524" s="37" t="s">
        <v>1613</v>
      </c>
      <c r="Q524" s="37" t="s">
        <v>1642</v>
      </c>
    </row>
    <row r="525" spans="1:17" ht="15">
      <c r="A525">
        <v>523</v>
      </c>
      <c r="B525" s="37" t="s">
        <v>1610</v>
      </c>
      <c r="C525" s="37" t="s">
        <v>1643</v>
      </c>
      <c r="D525" s="37" t="s">
        <v>1644</v>
      </c>
      <c r="E525" s="37">
        <v>3</v>
      </c>
      <c r="F525" s="37" t="s">
        <v>1613</v>
      </c>
      <c r="G525" s="37" t="s">
        <v>1613</v>
      </c>
      <c r="H525" s="37" t="s">
        <v>1613</v>
      </c>
      <c r="I525" s="37" t="s">
        <v>1613</v>
      </c>
      <c r="J525" s="37" t="s">
        <v>1613</v>
      </c>
      <c r="K525" s="37" t="s">
        <v>1613</v>
      </c>
      <c r="L525" s="37" t="s">
        <v>1613</v>
      </c>
      <c r="M525" s="37" t="s">
        <v>1613</v>
      </c>
      <c r="N525" s="37" t="s">
        <v>1613</v>
      </c>
      <c r="O525" s="37" t="s">
        <v>1613</v>
      </c>
      <c r="P525" s="37" t="s">
        <v>1613</v>
      </c>
      <c r="Q525" s="37" t="s">
        <v>1645</v>
      </c>
    </row>
    <row r="526" spans="1:17" ht="15">
      <c r="A526">
        <v>524</v>
      </c>
      <c r="B526" s="37" t="s">
        <v>1610</v>
      </c>
      <c r="C526" s="37" t="s">
        <v>1646</v>
      </c>
      <c r="D526" s="37" t="s">
        <v>1647</v>
      </c>
      <c r="E526" s="37">
        <v>3</v>
      </c>
      <c r="F526" s="37" t="s">
        <v>1613</v>
      </c>
      <c r="G526" s="37" t="s">
        <v>1613</v>
      </c>
      <c r="H526" s="37" t="s">
        <v>1613</v>
      </c>
      <c r="I526" s="37" t="s">
        <v>1613</v>
      </c>
      <c r="J526" s="37" t="s">
        <v>1613</v>
      </c>
      <c r="K526" s="37" t="s">
        <v>1613</v>
      </c>
      <c r="L526" s="37" t="s">
        <v>1613</v>
      </c>
      <c r="M526" s="37" t="s">
        <v>1613</v>
      </c>
      <c r="N526" s="37" t="s">
        <v>1613</v>
      </c>
      <c r="O526" s="37" t="s">
        <v>1613</v>
      </c>
      <c r="P526" s="37" t="s">
        <v>1613</v>
      </c>
      <c r="Q526" s="37" t="s">
        <v>1648</v>
      </c>
    </row>
    <row r="527" spans="1:17" ht="15">
      <c r="A527">
        <v>525</v>
      </c>
      <c r="B527" s="37" t="s">
        <v>1610</v>
      </c>
      <c r="C527" s="37" t="s">
        <v>1649</v>
      </c>
      <c r="D527" s="37" t="s">
        <v>1650</v>
      </c>
      <c r="E527" s="37">
        <v>3</v>
      </c>
      <c r="F527" s="37" t="s">
        <v>1613</v>
      </c>
      <c r="G527" s="37" t="s">
        <v>1613</v>
      </c>
      <c r="H527" s="37" t="s">
        <v>1613</v>
      </c>
      <c r="I527" s="37" t="s">
        <v>1613</v>
      </c>
      <c r="J527" s="37" t="s">
        <v>1613</v>
      </c>
      <c r="K527" s="37" t="s">
        <v>1613</v>
      </c>
      <c r="L527" s="37" t="s">
        <v>1613</v>
      </c>
      <c r="M527" s="37" t="s">
        <v>1613</v>
      </c>
      <c r="N527" s="37" t="s">
        <v>1613</v>
      </c>
      <c r="O527" s="37" t="s">
        <v>1613</v>
      </c>
      <c r="P527" s="37" t="s">
        <v>1613</v>
      </c>
      <c r="Q527" s="37" t="s">
        <v>1651</v>
      </c>
    </row>
    <row r="528" spans="1:17" ht="15">
      <c r="A528">
        <v>526</v>
      </c>
      <c r="B528" s="37" t="s">
        <v>1610</v>
      </c>
      <c r="C528" s="37" t="s">
        <v>1652</v>
      </c>
      <c r="D528" s="37" t="s">
        <v>1653</v>
      </c>
      <c r="E528" s="37">
        <v>3</v>
      </c>
      <c r="F528" s="37" t="s">
        <v>1613</v>
      </c>
      <c r="G528" s="37" t="s">
        <v>1613</v>
      </c>
      <c r="H528" s="37" t="s">
        <v>1613</v>
      </c>
      <c r="I528" s="37" t="s">
        <v>1613</v>
      </c>
      <c r="J528" s="37" t="s">
        <v>1613</v>
      </c>
      <c r="K528" s="37" t="s">
        <v>1613</v>
      </c>
      <c r="L528" s="37" t="s">
        <v>1613</v>
      </c>
      <c r="M528" s="37" t="s">
        <v>1613</v>
      </c>
      <c r="N528" s="37" t="s">
        <v>1613</v>
      </c>
      <c r="O528" s="37" t="s">
        <v>1613</v>
      </c>
      <c r="P528" s="37" t="s">
        <v>1613</v>
      </c>
      <c r="Q528" s="37" t="s">
        <v>1654</v>
      </c>
    </row>
    <row r="529" spans="1:17" ht="15">
      <c r="A529">
        <v>527</v>
      </c>
      <c r="B529" s="37" t="s">
        <v>1610</v>
      </c>
      <c r="C529" s="37" t="s">
        <v>1655</v>
      </c>
      <c r="D529" s="37" t="s">
        <v>1656</v>
      </c>
      <c r="E529" s="37">
        <v>3</v>
      </c>
      <c r="F529" s="37" t="s">
        <v>1613</v>
      </c>
      <c r="G529" s="37" t="s">
        <v>1613</v>
      </c>
      <c r="H529" s="37" t="s">
        <v>1613</v>
      </c>
      <c r="I529" s="37" t="s">
        <v>1613</v>
      </c>
      <c r="J529" s="37" t="s">
        <v>1613</v>
      </c>
      <c r="K529" s="37" t="s">
        <v>1613</v>
      </c>
      <c r="L529" s="37" t="s">
        <v>1613</v>
      </c>
      <c r="M529" s="37" t="s">
        <v>1613</v>
      </c>
      <c r="N529" s="37" t="s">
        <v>1613</v>
      </c>
      <c r="O529" s="37" t="s">
        <v>1613</v>
      </c>
      <c r="P529" s="37" t="s">
        <v>1613</v>
      </c>
      <c r="Q529" s="37" t="s">
        <v>1657</v>
      </c>
    </row>
    <row r="530" spans="1:17" ht="15">
      <c r="A530">
        <v>528</v>
      </c>
      <c r="B530" s="37" t="s">
        <v>1610</v>
      </c>
      <c r="C530" s="37" t="s">
        <v>1658</v>
      </c>
      <c r="D530" s="37" t="s">
        <v>1659</v>
      </c>
      <c r="E530" s="37">
        <v>3</v>
      </c>
      <c r="F530" s="37" t="s">
        <v>1613</v>
      </c>
      <c r="G530" s="37" t="s">
        <v>1613</v>
      </c>
      <c r="H530" s="37" t="s">
        <v>1613</v>
      </c>
      <c r="I530" s="37" t="s">
        <v>1613</v>
      </c>
      <c r="J530" s="37" t="s">
        <v>1613</v>
      </c>
      <c r="K530" s="37" t="s">
        <v>1613</v>
      </c>
      <c r="L530" s="37" t="s">
        <v>1613</v>
      </c>
      <c r="M530" s="37" t="s">
        <v>1613</v>
      </c>
      <c r="N530" s="37" t="s">
        <v>1613</v>
      </c>
      <c r="O530" s="37" t="s">
        <v>1613</v>
      </c>
      <c r="P530" s="37" t="s">
        <v>1613</v>
      </c>
      <c r="Q530" s="37" t="s">
        <v>1660</v>
      </c>
    </row>
    <row r="531" spans="1:17" ht="15">
      <c r="A531">
        <v>529</v>
      </c>
      <c r="B531" s="37" t="s">
        <v>1610</v>
      </c>
      <c r="C531" s="37" t="s">
        <v>1661</v>
      </c>
      <c r="D531" s="37" t="s">
        <v>1662</v>
      </c>
      <c r="E531" s="37">
        <v>3</v>
      </c>
      <c r="F531" s="37" t="s">
        <v>1613</v>
      </c>
      <c r="G531" s="37" t="s">
        <v>1613</v>
      </c>
      <c r="H531" s="37" t="s">
        <v>1613</v>
      </c>
      <c r="I531" s="37" t="s">
        <v>1613</v>
      </c>
      <c r="J531" s="37" t="s">
        <v>1613</v>
      </c>
      <c r="K531" s="37" t="s">
        <v>1613</v>
      </c>
      <c r="L531" s="37" t="s">
        <v>1613</v>
      </c>
      <c r="M531" s="37" t="s">
        <v>1613</v>
      </c>
      <c r="N531" s="37" t="s">
        <v>1613</v>
      </c>
      <c r="O531" s="37" t="s">
        <v>1613</v>
      </c>
      <c r="P531" s="37" t="s">
        <v>1613</v>
      </c>
      <c r="Q531" s="37" t="s">
        <v>1663</v>
      </c>
    </row>
    <row r="532" spans="1:17" ht="15">
      <c r="A532">
        <v>530</v>
      </c>
      <c r="B532" s="37" t="s">
        <v>1610</v>
      </c>
      <c r="C532" s="37" t="s">
        <v>1664</v>
      </c>
      <c r="D532" s="37" t="s">
        <v>1665</v>
      </c>
      <c r="E532" s="37">
        <v>3</v>
      </c>
      <c r="F532" s="37" t="s">
        <v>1613</v>
      </c>
      <c r="G532" s="37" t="s">
        <v>1613</v>
      </c>
      <c r="H532" s="37" t="s">
        <v>1613</v>
      </c>
      <c r="I532" s="37" t="s">
        <v>1613</v>
      </c>
      <c r="J532" s="37" t="s">
        <v>1613</v>
      </c>
      <c r="K532" s="37" t="s">
        <v>1613</v>
      </c>
      <c r="L532" s="37" t="s">
        <v>1613</v>
      </c>
      <c r="M532" s="37" t="s">
        <v>1613</v>
      </c>
      <c r="N532" s="37" t="s">
        <v>1613</v>
      </c>
      <c r="O532" s="37" t="s">
        <v>1613</v>
      </c>
      <c r="P532" s="37" t="s">
        <v>1613</v>
      </c>
      <c r="Q532" s="37" t="s">
        <v>1666</v>
      </c>
    </row>
    <row r="533" spans="1:17" ht="15">
      <c r="A533">
        <v>531</v>
      </c>
      <c r="B533" s="37" t="s">
        <v>1610</v>
      </c>
      <c r="C533" s="37" t="s">
        <v>1667</v>
      </c>
      <c r="D533" s="37" t="s">
        <v>1668</v>
      </c>
      <c r="E533" s="37">
        <v>3</v>
      </c>
      <c r="F533" s="37" t="s">
        <v>1613</v>
      </c>
      <c r="G533" s="37" t="s">
        <v>1613</v>
      </c>
      <c r="H533" s="37" t="s">
        <v>1613</v>
      </c>
      <c r="I533" s="37" t="s">
        <v>1613</v>
      </c>
      <c r="J533" s="37" t="s">
        <v>1613</v>
      </c>
      <c r="K533" s="37" t="s">
        <v>1613</v>
      </c>
      <c r="L533" s="37" t="s">
        <v>1613</v>
      </c>
      <c r="M533" s="37" t="s">
        <v>1613</v>
      </c>
      <c r="N533" s="37" t="s">
        <v>1613</v>
      </c>
      <c r="O533" s="37" t="s">
        <v>1613</v>
      </c>
      <c r="P533" s="37" t="s">
        <v>1613</v>
      </c>
      <c r="Q533" s="37" t="s">
        <v>1669</v>
      </c>
    </row>
    <row r="534" spans="1:17" ht="15">
      <c r="A534">
        <v>532</v>
      </c>
      <c r="B534" s="37" t="s">
        <v>1610</v>
      </c>
      <c r="C534" s="37" t="s">
        <v>1670</v>
      </c>
      <c r="D534" s="37" t="s">
        <v>1671</v>
      </c>
      <c r="E534" s="37">
        <v>3</v>
      </c>
      <c r="F534" s="37" t="s">
        <v>1613</v>
      </c>
      <c r="G534" s="37" t="s">
        <v>1613</v>
      </c>
      <c r="H534" s="37" t="s">
        <v>1613</v>
      </c>
      <c r="I534" s="37" t="s">
        <v>1613</v>
      </c>
      <c r="J534" s="37" t="s">
        <v>1613</v>
      </c>
      <c r="K534" s="37" t="s">
        <v>1613</v>
      </c>
      <c r="L534" s="37" t="s">
        <v>1613</v>
      </c>
      <c r="M534" s="37" t="s">
        <v>1613</v>
      </c>
      <c r="N534" s="37" t="s">
        <v>1613</v>
      </c>
      <c r="O534" s="37" t="s">
        <v>1613</v>
      </c>
      <c r="P534" s="37" t="s">
        <v>1613</v>
      </c>
      <c r="Q534" s="37" t="s">
        <v>1672</v>
      </c>
    </row>
    <row r="535" spans="1:17" ht="15">
      <c r="A535">
        <v>533</v>
      </c>
      <c r="B535" s="37" t="s">
        <v>1610</v>
      </c>
      <c r="C535" s="37" t="s">
        <v>1673</v>
      </c>
      <c r="D535" s="37" t="s">
        <v>1674</v>
      </c>
      <c r="E535" s="37">
        <v>3</v>
      </c>
      <c r="F535" s="37" t="s">
        <v>1613</v>
      </c>
      <c r="G535" s="37" t="s">
        <v>1613</v>
      </c>
      <c r="H535" s="37" t="s">
        <v>1613</v>
      </c>
      <c r="I535" s="37" t="s">
        <v>1613</v>
      </c>
      <c r="J535" s="37" t="s">
        <v>1613</v>
      </c>
      <c r="K535" s="37" t="s">
        <v>1613</v>
      </c>
      <c r="L535" s="37" t="s">
        <v>1613</v>
      </c>
      <c r="M535" s="37" t="s">
        <v>1613</v>
      </c>
      <c r="N535" s="37" t="s">
        <v>1613</v>
      </c>
      <c r="O535" s="37" t="s">
        <v>1613</v>
      </c>
      <c r="P535" s="37" t="s">
        <v>1613</v>
      </c>
      <c r="Q535" s="37" t="s">
        <v>1675</v>
      </c>
    </row>
    <row r="536" spans="1:17" ht="15">
      <c r="A536">
        <v>534</v>
      </c>
      <c r="B536" s="37" t="s">
        <v>1610</v>
      </c>
      <c r="C536" s="37" t="s">
        <v>1676</v>
      </c>
      <c r="D536" s="37" t="s">
        <v>1677</v>
      </c>
      <c r="E536" s="37">
        <v>3</v>
      </c>
      <c r="F536" s="37" t="s">
        <v>1613</v>
      </c>
      <c r="G536" s="37" t="s">
        <v>1613</v>
      </c>
      <c r="H536" s="37" t="s">
        <v>1613</v>
      </c>
      <c r="I536" s="37" t="s">
        <v>1613</v>
      </c>
      <c r="J536" s="37" t="s">
        <v>1613</v>
      </c>
      <c r="K536" s="37" t="s">
        <v>1613</v>
      </c>
      <c r="L536" s="37" t="s">
        <v>1613</v>
      </c>
      <c r="M536" s="37" t="s">
        <v>1613</v>
      </c>
      <c r="N536" s="37" t="s">
        <v>1613</v>
      </c>
      <c r="O536" s="37" t="s">
        <v>1613</v>
      </c>
      <c r="P536" s="37" t="s">
        <v>1613</v>
      </c>
      <c r="Q536" s="37" t="s">
        <v>1678</v>
      </c>
    </row>
    <row r="537" spans="1:17" ht="15">
      <c r="A537">
        <v>535</v>
      </c>
      <c r="B537" s="37" t="s">
        <v>1610</v>
      </c>
      <c r="C537" s="37" t="s">
        <v>1679</v>
      </c>
      <c r="D537" s="37" t="s">
        <v>1680</v>
      </c>
      <c r="E537" s="37">
        <v>3</v>
      </c>
      <c r="F537" s="37" t="s">
        <v>1613</v>
      </c>
      <c r="G537" s="37" t="s">
        <v>1613</v>
      </c>
      <c r="H537" s="37" t="s">
        <v>1613</v>
      </c>
      <c r="I537" s="37" t="s">
        <v>1613</v>
      </c>
      <c r="J537" s="37" t="s">
        <v>1613</v>
      </c>
      <c r="K537" s="37" t="s">
        <v>1613</v>
      </c>
      <c r="L537" s="37" t="s">
        <v>1613</v>
      </c>
      <c r="M537" s="37" t="s">
        <v>1613</v>
      </c>
      <c r="N537" s="37" t="s">
        <v>1613</v>
      </c>
      <c r="O537" s="37" t="s">
        <v>1613</v>
      </c>
      <c r="P537" s="37" t="s">
        <v>1613</v>
      </c>
      <c r="Q537" s="37" t="s">
        <v>1681</v>
      </c>
    </row>
    <row r="538" spans="1:17" ht="15">
      <c r="A538">
        <v>536</v>
      </c>
      <c r="B538" s="37" t="s">
        <v>1610</v>
      </c>
      <c r="C538" s="37" t="s">
        <v>1682</v>
      </c>
      <c r="D538" s="37" t="s">
        <v>1683</v>
      </c>
      <c r="E538" s="37">
        <v>3</v>
      </c>
      <c r="F538" s="37" t="s">
        <v>1613</v>
      </c>
      <c r="G538" s="37" t="s">
        <v>1613</v>
      </c>
      <c r="H538" s="37" t="s">
        <v>1613</v>
      </c>
      <c r="I538" s="37" t="s">
        <v>1613</v>
      </c>
      <c r="J538" s="37" t="s">
        <v>1613</v>
      </c>
      <c r="K538" s="37" t="s">
        <v>1613</v>
      </c>
      <c r="L538" s="37" t="s">
        <v>1613</v>
      </c>
      <c r="M538" s="37" t="s">
        <v>1613</v>
      </c>
      <c r="N538" s="37" t="s">
        <v>1613</v>
      </c>
      <c r="O538" s="37" t="s">
        <v>1613</v>
      </c>
      <c r="P538" s="37" t="s">
        <v>1613</v>
      </c>
      <c r="Q538" s="37" t="s">
        <v>1684</v>
      </c>
    </row>
    <row r="539" spans="1:17" ht="15">
      <c r="A539">
        <v>537</v>
      </c>
      <c r="B539" s="37" t="s">
        <v>1610</v>
      </c>
      <c r="C539" s="37" t="s">
        <v>1685</v>
      </c>
      <c r="D539" s="37" t="s">
        <v>1686</v>
      </c>
      <c r="E539" s="37">
        <v>3</v>
      </c>
      <c r="F539" s="37" t="s">
        <v>1613</v>
      </c>
      <c r="G539" s="37" t="s">
        <v>1613</v>
      </c>
      <c r="H539" s="37" t="s">
        <v>1613</v>
      </c>
      <c r="I539" s="37" t="s">
        <v>1613</v>
      </c>
      <c r="J539" s="37" t="s">
        <v>1613</v>
      </c>
      <c r="K539" s="37" t="s">
        <v>1613</v>
      </c>
      <c r="L539" s="37" t="s">
        <v>1613</v>
      </c>
      <c r="M539" s="37" t="s">
        <v>1613</v>
      </c>
      <c r="N539" s="37" t="s">
        <v>1613</v>
      </c>
      <c r="O539" s="37" t="s">
        <v>1613</v>
      </c>
      <c r="P539" s="37" t="s">
        <v>1613</v>
      </c>
      <c r="Q539" s="37" t="s">
        <v>1687</v>
      </c>
    </row>
    <row r="540" spans="1:17" ht="15">
      <c r="A540">
        <v>538</v>
      </c>
      <c r="B540" s="37" t="s">
        <v>1610</v>
      </c>
      <c r="C540" s="37" t="s">
        <v>1688</v>
      </c>
      <c r="D540" s="37" t="s">
        <v>1689</v>
      </c>
      <c r="E540" s="37">
        <v>3</v>
      </c>
      <c r="F540" s="37" t="s">
        <v>1613</v>
      </c>
      <c r="G540" s="37" t="s">
        <v>1613</v>
      </c>
      <c r="H540" s="37" t="s">
        <v>1613</v>
      </c>
      <c r="I540" s="37" t="s">
        <v>1613</v>
      </c>
      <c r="J540" s="37" t="s">
        <v>1613</v>
      </c>
      <c r="K540" s="37" t="s">
        <v>1613</v>
      </c>
      <c r="L540" s="37" t="s">
        <v>1613</v>
      </c>
      <c r="M540" s="37" t="s">
        <v>1613</v>
      </c>
      <c r="N540" s="37" t="s">
        <v>1613</v>
      </c>
      <c r="O540" s="37" t="s">
        <v>1613</v>
      </c>
      <c r="P540" s="37" t="s">
        <v>1613</v>
      </c>
      <c r="Q540" s="37" t="s">
        <v>1690</v>
      </c>
    </row>
    <row r="541" spans="1:17" ht="15">
      <c r="A541">
        <v>539</v>
      </c>
      <c r="B541" s="37" t="s">
        <v>1610</v>
      </c>
      <c r="C541" s="37" t="s">
        <v>1691</v>
      </c>
      <c r="D541" s="37" t="s">
        <v>1692</v>
      </c>
      <c r="E541" s="37">
        <v>3</v>
      </c>
      <c r="F541" s="37" t="s">
        <v>1613</v>
      </c>
      <c r="G541" s="37" t="s">
        <v>1613</v>
      </c>
      <c r="H541" s="37" t="s">
        <v>1613</v>
      </c>
      <c r="I541" s="37" t="s">
        <v>1613</v>
      </c>
      <c r="J541" s="37" t="s">
        <v>1613</v>
      </c>
      <c r="K541" s="37" t="s">
        <v>1613</v>
      </c>
      <c r="L541" s="37" t="s">
        <v>1613</v>
      </c>
      <c r="M541" s="37" t="s">
        <v>1613</v>
      </c>
      <c r="N541" s="37" t="s">
        <v>1613</v>
      </c>
      <c r="O541" s="37" t="s">
        <v>1613</v>
      </c>
      <c r="P541" s="37" t="s">
        <v>1613</v>
      </c>
      <c r="Q541" s="37" t="s">
        <v>1693</v>
      </c>
    </row>
    <row r="542" spans="1:17" ht="15">
      <c r="A542">
        <v>540</v>
      </c>
      <c r="B542" s="37" t="s">
        <v>1610</v>
      </c>
      <c r="C542" s="37" t="s">
        <v>1694</v>
      </c>
      <c r="D542" s="37" t="s">
        <v>1695</v>
      </c>
      <c r="E542" s="37">
        <v>3</v>
      </c>
      <c r="F542" s="37" t="s">
        <v>1613</v>
      </c>
      <c r="G542" s="37" t="s">
        <v>1613</v>
      </c>
      <c r="H542" s="37" t="s">
        <v>1613</v>
      </c>
      <c r="I542" s="37" t="s">
        <v>1613</v>
      </c>
      <c r="J542" s="37" t="s">
        <v>1613</v>
      </c>
      <c r="K542" s="37" t="s">
        <v>1613</v>
      </c>
      <c r="L542" s="37" t="s">
        <v>1613</v>
      </c>
      <c r="M542" s="37" t="s">
        <v>1613</v>
      </c>
      <c r="N542" s="37" t="s">
        <v>1613</v>
      </c>
      <c r="O542" s="37" t="s">
        <v>1613</v>
      </c>
      <c r="P542" s="37" t="s">
        <v>1613</v>
      </c>
      <c r="Q542" s="37" t="s">
        <v>1696</v>
      </c>
    </row>
    <row r="543" spans="1:17" ht="15">
      <c r="A543">
        <v>541</v>
      </c>
      <c r="B543" s="37" t="s">
        <v>1610</v>
      </c>
      <c r="C543" s="37" t="s">
        <v>1697</v>
      </c>
      <c r="D543" s="37" t="s">
        <v>1698</v>
      </c>
      <c r="E543" s="37">
        <v>3</v>
      </c>
      <c r="F543" s="37" t="s">
        <v>1613</v>
      </c>
      <c r="G543" s="37" t="s">
        <v>1613</v>
      </c>
      <c r="H543" s="37" t="s">
        <v>1613</v>
      </c>
      <c r="I543" s="37" t="s">
        <v>1613</v>
      </c>
      <c r="J543" s="37" t="s">
        <v>1613</v>
      </c>
      <c r="K543" s="37" t="s">
        <v>1613</v>
      </c>
      <c r="L543" s="37" t="s">
        <v>1613</v>
      </c>
      <c r="M543" s="37" t="s">
        <v>1613</v>
      </c>
      <c r="N543" s="37" t="s">
        <v>1613</v>
      </c>
      <c r="O543" s="37" t="s">
        <v>1613</v>
      </c>
      <c r="P543" s="37" t="s">
        <v>1613</v>
      </c>
      <c r="Q543" s="37" t="s">
        <v>680</v>
      </c>
    </row>
    <row r="544" spans="1:17" ht="15">
      <c r="A544">
        <v>542</v>
      </c>
      <c r="B544" s="37" t="s">
        <v>1610</v>
      </c>
      <c r="C544" s="37" t="s">
        <v>1699</v>
      </c>
      <c r="D544" s="37" t="s">
        <v>1700</v>
      </c>
      <c r="E544" s="37">
        <v>3</v>
      </c>
      <c r="F544" s="37" t="s">
        <v>1613</v>
      </c>
      <c r="G544" s="37" t="s">
        <v>1613</v>
      </c>
      <c r="H544" s="37" t="s">
        <v>1613</v>
      </c>
      <c r="I544" s="37" t="s">
        <v>1613</v>
      </c>
      <c r="J544" s="37" t="s">
        <v>1613</v>
      </c>
      <c r="K544" s="37" t="s">
        <v>1613</v>
      </c>
      <c r="L544" s="37" t="s">
        <v>1613</v>
      </c>
      <c r="M544" s="37" t="s">
        <v>1613</v>
      </c>
      <c r="N544" s="37" t="s">
        <v>1613</v>
      </c>
      <c r="O544" s="37" t="s">
        <v>1613</v>
      </c>
      <c r="P544" s="37" t="s">
        <v>1613</v>
      </c>
      <c r="Q544" s="37" t="s">
        <v>1701</v>
      </c>
    </row>
    <row r="545" spans="1:17" ht="15">
      <c r="A545">
        <v>543</v>
      </c>
      <c r="B545" s="37" t="s">
        <v>1610</v>
      </c>
      <c r="C545" s="37" t="s">
        <v>1702</v>
      </c>
      <c r="D545" s="37" t="s">
        <v>1703</v>
      </c>
      <c r="E545" s="37">
        <v>3</v>
      </c>
      <c r="F545" s="37" t="s">
        <v>1613</v>
      </c>
      <c r="G545" s="37" t="s">
        <v>1613</v>
      </c>
      <c r="H545" s="37" t="s">
        <v>1613</v>
      </c>
      <c r="I545" s="37" t="s">
        <v>1613</v>
      </c>
      <c r="J545" s="37" t="s">
        <v>1613</v>
      </c>
      <c r="K545" s="37" t="s">
        <v>1613</v>
      </c>
      <c r="L545" s="37" t="s">
        <v>1613</v>
      </c>
      <c r="M545" s="37" t="s">
        <v>1613</v>
      </c>
      <c r="N545" s="37" t="s">
        <v>1613</v>
      </c>
      <c r="O545" s="37" t="s">
        <v>1613</v>
      </c>
      <c r="P545" s="37" t="s">
        <v>1613</v>
      </c>
      <c r="Q545" s="37" t="s">
        <v>1704</v>
      </c>
    </row>
    <row r="546" spans="1:17" ht="15">
      <c r="A546">
        <v>544</v>
      </c>
      <c r="B546" s="37" t="s">
        <v>1610</v>
      </c>
      <c r="C546" s="37" t="s">
        <v>1705</v>
      </c>
      <c r="D546" s="37" t="s">
        <v>1706</v>
      </c>
      <c r="E546" s="37">
        <v>3</v>
      </c>
      <c r="F546" s="37" t="s">
        <v>1613</v>
      </c>
      <c r="G546" s="37" t="s">
        <v>1613</v>
      </c>
      <c r="H546" s="37" t="s">
        <v>1613</v>
      </c>
      <c r="I546" s="37" t="s">
        <v>1613</v>
      </c>
      <c r="J546" s="37" t="s">
        <v>1613</v>
      </c>
      <c r="K546" s="37" t="s">
        <v>1613</v>
      </c>
      <c r="L546" s="37" t="s">
        <v>1613</v>
      </c>
      <c r="M546" s="37" t="s">
        <v>1613</v>
      </c>
      <c r="N546" s="37" t="s">
        <v>1613</v>
      </c>
      <c r="O546" s="37" t="s">
        <v>1613</v>
      </c>
      <c r="P546" s="37" t="s">
        <v>1613</v>
      </c>
      <c r="Q546" s="37" t="s">
        <v>1707</v>
      </c>
    </row>
    <row r="547" spans="1:17" ht="15">
      <c r="A547">
        <v>545</v>
      </c>
      <c r="B547" s="37" t="s">
        <v>1610</v>
      </c>
      <c r="C547" s="37" t="s">
        <v>1708</v>
      </c>
      <c r="D547" s="37" t="s">
        <v>1709</v>
      </c>
      <c r="E547" s="37">
        <v>3</v>
      </c>
      <c r="F547" s="37" t="s">
        <v>1613</v>
      </c>
      <c r="G547" s="37" t="s">
        <v>1613</v>
      </c>
      <c r="H547" s="37" t="s">
        <v>1613</v>
      </c>
      <c r="I547" s="37" t="s">
        <v>1613</v>
      </c>
      <c r="J547" s="37" t="s">
        <v>1613</v>
      </c>
      <c r="K547" s="37" t="s">
        <v>1613</v>
      </c>
      <c r="L547" s="37" t="s">
        <v>1613</v>
      </c>
      <c r="M547" s="37" t="s">
        <v>1613</v>
      </c>
      <c r="N547" s="37" t="s">
        <v>1613</v>
      </c>
      <c r="O547" s="37" t="s">
        <v>1613</v>
      </c>
      <c r="P547" s="37" t="s">
        <v>1613</v>
      </c>
      <c r="Q547" s="37" t="s">
        <v>1710</v>
      </c>
    </row>
    <row r="548" spans="1:17" ht="15">
      <c r="A548">
        <v>546</v>
      </c>
      <c r="B548" s="37" t="s">
        <v>1610</v>
      </c>
      <c r="C548" s="37" t="s">
        <v>1711</v>
      </c>
      <c r="D548" s="37" t="s">
        <v>1712</v>
      </c>
      <c r="E548" s="37">
        <v>3</v>
      </c>
      <c r="F548" s="37" t="s">
        <v>1613</v>
      </c>
      <c r="G548" s="37" t="s">
        <v>1613</v>
      </c>
      <c r="H548" s="37" t="s">
        <v>1613</v>
      </c>
      <c r="I548" s="37" t="s">
        <v>1613</v>
      </c>
      <c r="J548" s="37" t="s">
        <v>1613</v>
      </c>
      <c r="K548" s="37" t="s">
        <v>1613</v>
      </c>
      <c r="L548" s="37" t="s">
        <v>1613</v>
      </c>
      <c r="M548" s="37" t="s">
        <v>1613</v>
      </c>
      <c r="N548" s="37" t="s">
        <v>1613</v>
      </c>
      <c r="O548" s="37" t="s">
        <v>1613</v>
      </c>
      <c r="P548" s="37" t="s">
        <v>1613</v>
      </c>
      <c r="Q548" s="37" t="s">
        <v>1713</v>
      </c>
    </row>
    <row r="549" spans="1:17" ht="15">
      <c r="A549">
        <v>547</v>
      </c>
      <c r="B549" s="37" t="s">
        <v>1610</v>
      </c>
      <c r="C549" s="37" t="s">
        <v>1714</v>
      </c>
      <c r="D549" s="37" t="s">
        <v>1715</v>
      </c>
      <c r="E549" s="37">
        <v>3</v>
      </c>
      <c r="F549" s="37" t="s">
        <v>1613</v>
      </c>
      <c r="G549" s="37" t="s">
        <v>1613</v>
      </c>
      <c r="H549" s="37" t="s">
        <v>1613</v>
      </c>
      <c r="I549" s="37" t="s">
        <v>1613</v>
      </c>
      <c r="J549" s="37" t="s">
        <v>1613</v>
      </c>
      <c r="K549" s="37" t="s">
        <v>1613</v>
      </c>
      <c r="L549" s="37" t="s">
        <v>1613</v>
      </c>
      <c r="M549" s="37" t="s">
        <v>1613</v>
      </c>
      <c r="N549" s="37" t="s">
        <v>1613</v>
      </c>
      <c r="O549" s="37" t="s">
        <v>1613</v>
      </c>
      <c r="P549" s="37" t="s">
        <v>1613</v>
      </c>
      <c r="Q549" s="37" t="s">
        <v>1716</v>
      </c>
    </row>
    <row r="550" spans="1:17" ht="15">
      <c r="A550">
        <v>548</v>
      </c>
      <c r="B550" s="37" t="s">
        <v>1610</v>
      </c>
      <c r="C550" s="37" t="s">
        <v>1717</v>
      </c>
      <c r="D550" s="37" t="s">
        <v>1718</v>
      </c>
      <c r="E550" s="37">
        <v>3</v>
      </c>
      <c r="F550" s="37" t="s">
        <v>1613</v>
      </c>
      <c r="G550" s="37" t="s">
        <v>1613</v>
      </c>
      <c r="H550" s="37" t="s">
        <v>1613</v>
      </c>
      <c r="I550" s="37" t="s">
        <v>1613</v>
      </c>
      <c r="J550" s="37" t="s">
        <v>1613</v>
      </c>
      <c r="K550" s="37" t="s">
        <v>1613</v>
      </c>
      <c r="L550" s="37" t="s">
        <v>1613</v>
      </c>
      <c r="M550" s="37" t="s">
        <v>1613</v>
      </c>
      <c r="N550" s="37" t="s">
        <v>1613</v>
      </c>
      <c r="O550" s="37" t="s">
        <v>1613</v>
      </c>
      <c r="P550" s="37" t="s">
        <v>1613</v>
      </c>
      <c r="Q550" s="37" t="s">
        <v>1719</v>
      </c>
    </row>
    <row r="551" spans="1:17" ht="15">
      <c r="A551">
        <v>549</v>
      </c>
      <c r="B551" s="37" t="s">
        <v>1610</v>
      </c>
      <c r="C551" s="37" t="s">
        <v>1720</v>
      </c>
      <c r="D551" s="37" t="s">
        <v>1721</v>
      </c>
      <c r="E551" s="37">
        <v>3</v>
      </c>
      <c r="F551" s="37" t="s">
        <v>1613</v>
      </c>
      <c r="G551" s="37" t="s">
        <v>1613</v>
      </c>
      <c r="H551" s="37" t="s">
        <v>1613</v>
      </c>
      <c r="I551" s="37" t="s">
        <v>1613</v>
      </c>
      <c r="J551" s="37" t="s">
        <v>1613</v>
      </c>
      <c r="K551" s="37" t="s">
        <v>1613</v>
      </c>
      <c r="L551" s="37" t="s">
        <v>1613</v>
      </c>
      <c r="M551" s="37" t="s">
        <v>1613</v>
      </c>
      <c r="N551" s="37" t="s">
        <v>1613</v>
      </c>
      <c r="O551" s="37" t="s">
        <v>1613</v>
      </c>
      <c r="P551" s="37" t="s">
        <v>1613</v>
      </c>
      <c r="Q551" s="37" t="s">
        <v>1722</v>
      </c>
    </row>
    <row r="552" spans="1:17" ht="15">
      <c r="A552">
        <v>550</v>
      </c>
      <c r="B552" s="37" t="s">
        <v>1610</v>
      </c>
      <c r="C552" s="37" t="s">
        <v>1723</v>
      </c>
      <c r="D552" s="37" t="s">
        <v>1724</v>
      </c>
      <c r="E552" s="37">
        <v>3</v>
      </c>
      <c r="F552" s="37" t="s">
        <v>1613</v>
      </c>
      <c r="G552" s="37" t="s">
        <v>1613</v>
      </c>
      <c r="H552" s="37" t="s">
        <v>1613</v>
      </c>
      <c r="I552" s="37" t="s">
        <v>1613</v>
      </c>
      <c r="J552" s="37" t="s">
        <v>1613</v>
      </c>
      <c r="K552" s="37" t="s">
        <v>1613</v>
      </c>
      <c r="L552" s="37" t="s">
        <v>1613</v>
      </c>
      <c r="M552" s="37" t="s">
        <v>1613</v>
      </c>
      <c r="N552" s="37" t="s">
        <v>1613</v>
      </c>
      <c r="O552" s="37" t="s">
        <v>1613</v>
      </c>
      <c r="P552" s="37" t="s">
        <v>1613</v>
      </c>
      <c r="Q552" s="37" t="s">
        <v>680</v>
      </c>
    </row>
    <row r="553" spans="1:17" ht="15">
      <c r="A553">
        <v>551</v>
      </c>
      <c r="B553" s="37" t="s">
        <v>1610</v>
      </c>
      <c r="C553" s="37" t="s">
        <v>1725</v>
      </c>
      <c r="D553" s="37" t="s">
        <v>1726</v>
      </c>
      <c r="E553" s="37">
        <v>3</v>
      </c>
      <c r="F553" s="37" t="s">
        <v>1613</v>
      </c>
      <c r="G553" s="37" t="s">
        <v>1613</v>
      </c>
      <c r="H553" s="37" t="s">
        <v>1613</v>
      </c>
      <c r="I553" s="37" t="s">
        <v>1613</v>
      </c>
      <c r="J553" s="37" t="s">
        <v>1613</v>
      </c>
      <c r="K553" s="37" t="s">
        <v>1613</v>
      </c>
      <c r="L553" s="37" t="s">
        <v>1613</v>
      </c>
      <c r="M553" s="37" t="s">
        <v>1613</v>
      </c>
      <c r="N553" s="37" t="s">
        <v>1613</v>
      </c>
      <c r="O553" s="37" t="s">
        <v>1613</v>
      </c>
      <c r="P553" s="37" t="s">
        <v>1613</v>
      </c>
      <c r="Q553" s="37" t="s">
        <v>1727</v>
      </c>
    </row>
    <row r="554" spans="1:17" ht="15">
      <c r="A554">
        <v>552</v>
      </c>
      <c r="B554" s="37" t="s">
        <v>1610</v>
      </c>
      <c r="C554" s="37" t="s">
        <v>1728</v>
      </c>
      <c r="D554" s="37" t="s">
        <v>1729</v>
      </c>
      <c r="E554" s="37">
        <v>3</v>
      </c>
      <c r="F554" s="37" t="s">
        <v>1613</v>
      </c>
      <c r="G554" s="37" t="s">
        <v>1613</v>
      </c>
      <c r="H554" s="37" t="s">
        <v>1613</v>
      </c>
      <c r="I554" s="37" t="s">
        <v>1613</v>
      </c>
      <c r="J554" s="37" t="s">
        <v>1613</v>
      </c>
      <c r="K554" s="37" t="s">
        <v>1613</v>
      </c>
      <c r="L554" s="37" t="s">
        <v>1613</v>
      </c>
      <c r="M554" s="37" t="s">
        <v>1613</v>
      </c>
      <c r="N554" s="37" t="s">
        <v>1613</v>
      </c>
      <c r="O554" s="37" t="s">
        <v>1613</v>
      </c>
      <c r="P554" s="37" t="s">
        <v>1613</v>
      </c>
      <c r="Q554" s="37" t="s">
        <v>1730</v>
      </c>
    </row>
    <row r="555" spans="1:17" ht="15">
      <c r="A555">
        <v>553</v>
      </c>
      <c r="B555" s="37" t="s">
        <v>1610</v>
      </c>
      <c r="C555" s="37" t="s">
        <v>1731</v>
      </c>
      <c r="D555" s="37" t="s">
        <v>1732</v>
      </c>
      <c r="E555" s="37">
        <v>3</v>
      </c>
      <c r="F555" s="37" t="s">
        <v>1613</v>
      </c>
      <c r="G555" s="37" t="s">
        <v>1613</v>
      </c>
      <c r="H555" s="37" t="s">
        <v>1613</v>
      </c>
      <c r="I555" s="37" t="s">
        <v>1613</v>
      </c>
      <c r="J555" s="37" t="s">
        <v>1613</v>
      </c>
      <c r="K555" s="37" t="s">
        <v>1613</v>
      </c>
      <c r="L555" s="37" t="s">
        <v>1613</v>
      </c>
      <c r="M555" s="37" t="s">
        <v>1613</v>
      </c>
      <c r="N555" s="37" t="s">
        <v>1613</v>
      </c>
      <c r="O555" s="37" t="s">
        <v>1613</v>
      </c>
      <c r="P555" s="37" t="s">
        <v>1613</v>
      </c>
      <c r="Q555" s="37" t="s">
        <v>1733</v>
      </c>
    </row>
    <row r="556" spans="1:17" ht="15">
      <c r="A556">
        <v>554</v>
      </c>
      <c r="B556" s="37" t="s">
        <v>1734</v>
      </c>
      <c r="C556" s="37" t="s">
        <v>1735</v>
      </c>
      <c r="D556" s="37" t="s">
        <v>1736</v>
      </c>
      <c r="E556" s="37">
        <v>3</v>
      </c>
      <c r="F556" s="37" t="s">
        <v>77</v>
      </c>
      <c r="G556" s="37" t="s">
        <v>77</v>
      </c>
      <c r="H556" s="37" t="s">
        <v>77</v>
      </c>
      <c r="I556" s="37" t="s">
        <v>77</v>
      </c>
      <c r="J556" s="37" t="s">
        <v>77</v>
      </c>
      <c r="K556" s="37" t="s">
        <v>77</v>
      </c>
      <c r="L556" s="37" t="s">
        <v>77</v>
      </c>
      <c r="M556" s="37" t="s">
        <v>77</v>
      </c>
      <c r="N556" s="37" t="s">
        <v>77</v>
      </c>
      <c r="O556" s="37" t="s">
        <v>77</v>
      </c>
      <c r="P556" s="37" t="s">
        <v>77</v>
      </c>
      <c r="Q556" s="37" t="s">
        <v>1737</v>
      </c>
    </row>
    <row r="557" spans="1:17" ht="15">
      <c r="A557">
        <v>555</v>
      </c>
      <c r="B557" s="37" t="s">
        <v>1734</v>
      </c>
      <c r="C557" s="37" t="s">
        <v>1738</v>
      </c>
      <c r="D557" s="37" t="s">
        <v>1739</v>
      </c>
      <c r="E557" s="37">
        <v>3</v>
      </c>
      <c r="F557" s="37" t="s">
        <v>77</v>
      </c>
      <c r="G557" s="37" t="s">
        <v>77</v>
      </c>
      <c r="H557" s="37" t="s">
        <v>77</v>
      </c>
      <c r="I557" s="37" t="s">
        <v>77</v>
      </c>
      <c r="J557" s="37" t="s">
        <v>77</v>
      </c>
      <c r="K557" s="37" t="s">
        <v>77</v>
      </c>
      <c r="L557" s="37" t="s">
        <v>77</v>
      </c>
      <c r="M557" s="37" t="s">
        <v>77</v>
      </c>
      <c r="N557" s="37" t="s">
        <v>77</v>
      </c>
      <c r="O557" s="37" t="s">
        <v>77</v>
      </c>
      <c r="P557" s="37" t="s">
        <v>77</v>
      </c>
      <c r="Q557" s="37" t="s">
        <v>1740</v>
      </c>
    </row>
    <row r="558" spans="1:17" ht="15">
      <c r="A558">
        <v>556</v>
      </c>
      <c r="B558" s="37" t="s">
        <v>1734</v>
      </c>
      <c r="C558" s="37" t="s">
        <v>1741</v>
      </c>
      <c r="D558" s="37" t="s">
        <v>1742</v>
      </c>
      <c r="E558" s="37">
        <v>3</v>
      </c>
      <c r="F558" s="37" t="s">
        <v>77</v>
      </c>
      <c r="G558" s="37" t="s">
        <v>77</v>
      </c>
      <c r="H558" s="37" t="s">
        <v>77</v>
      </c>
      <c r="I558" s="37" t="s">
        <v>77</v>
      </c>
      <c r="J558" s="37" t="s">
        <v>77</v>
      </c>
      <c r="K558" s="37" t="s">
        <v>77</v>
      </c>
      <c r="L558" s="37" t="s">
        <v>77</v>
      </c>
      <c r="M558" s="37" t="s">
        <v>77</v>
      </c>
      <c r="N558" s="37" t="s">
        <v>77</v>
      </c>
      <c r="O558" s="37" t="s">
        <v>77</v>
      </c>
      <c r="P558" s="37" t="s">
        <v>77</v>
      </c>
      <c r="Q558" s="37" t="s">
        <v>1743</v>
      </c>
    </row>
    <row r="559" spans="1:17" ht="15">
      <c r="A559">
        <v>557</v>
      </c>
      <c r="B559" s="37" t="s">
        <v>1734</v>
      </c>
      <c r="C559" s="37" t="s">
        <v>1744</v>
      </c>
      <c r="D559" s="37" t="s">
        <v>1745</v>
      </c>
      <c r="E559" s="37">
        <v>3</v>
      </c>
      <c r="F559" s="37" t="s">
        <v>77</v>
      </c>
      <c r="G559" s="37" t="s">
        <v>77</v>
      </c>
      <c r="H559" s="37" t="s">
        <v>77</v>
      </c>
      <c r="I559" s="37" t="s">
        <v>77</v>
      </c>
      <c r="J559" s="37" t="s">
        <v>77</v>
      </c>
      <c r="K559" s="37" t="s">
        <v>77</v>
      </c>
      <c r="L559" s="37" t="s">
        <v>77</v>
      </c>
      <c r="M559" s="37" t="s">
        <v>77</v>
      </c>
      <c r="N559" s="37" t="s">
        <v>77</v>
      </c>
      <c r="O559" s="37" t="s">
        <v>77</v>
      </c>
      <c r="P559" s="37" t="s">
        <v>77</v>
      </c>
      <c r="Q559" s="37" t="s">
        <v>1746</v>
      </c>
    </row>
    <row r="560" spans="1:17" ht="15">
      <c r="A560">
        <v>558</v>
      </c>
      <c r="B560" s="37" t="s">
        <v>1734</v>
      </c>
      <c r="C560" s="37" t="s">
        <v>1747</v>
      </c>
      <c r="D560" s="37" t="s">
        <v>1748</v>
      </c>
      <c r="E560" s="37">
        <v>3</v>
      </c>
      <c r="F560" s="37" t="s">
        <v>77</v>
      </c>
      <c r="G560" s="37" t="s">
        <v>77</v>
      </c>
      <c r="H560" s="37" t="s">
        <v>77</v>
      </c>
      <c r="I560" s="37" t="s">
        <v>77</v>
      </c>
      <c r="J560" s="37" t="s">
        <v>77</v>
      </c>
      <c r="K560" s="37" t="s">
        <v>77</v>
      </c>
      <c r="L560" s="37" t="s">
        <v>77</v>
      </c>
      <c r="M560" s="37" t="s">
        <v>77</v>
      </c>
      <c r="N560" s="37" t="s">
        <v>77</v>
      </c>
      <c r="O560" s="37" t="s">
        <v>77</v>
      </c>
      <c r="P560" s="37" t="s">
        <v>77</v>
      </c>
      <c r="Q560" s="37" t="s">
        <v>1749</v>
      </c>
    </row>
    <row r="561" spans="1:17" ht="15">
      <c r="A561">
        <v>559</v>
      </c>
      <c r="B561" s="37" t="s">
        <v>1734</v>
      </c>
      <c r="C561" s="37" t="s">
        <v>1750</v>
      </c>
      <c r="D561" s="37" t="s">
        <v>1751</v>
      </c>
      <c r="E561" s="37">
        <v>3</v>
      </c>
      <c r="F561" s="37" t="s">
        <v>77</v>
      </c>
      <c r="G561" s="37" t="s">
        <v>77</v>
      </c>
      <c r="H561" s="37" t="s">
        <v>77</v>
      </c>
      <c r="I561" s="37" t="s">
        <v>77</v>
      </c>
      <c r="J561" s="37" t="s">
        <v>77</v>
      </c>
      <c r="K561" s="37" t="s">
        <v>77</v>
      </c>
      <c r="L561" s="37" t="s">
        <v>77</v>
      </c>
      <c r="M561" s="37" t="s">
        <v>77</v>
      </c>
      <c r="N561" s="37" t="s">
        <v>77</v>
      </c>
      <c r="O561" s="37" t="s">
        <v>77</v>
      </c>
      <c r="P561" s="37" t="s">
        <v>77</v>
      </c>
      <c r="Q561" s="37" t="s">
        <v>1752</v>
      </c>
    </row>
    <row r="562" spans="1:17" ht="15">
      <c r="A562">
        <v>560</v>
      </c>
      <c r="B562" s="37" t="s">
        <v>1734</v>
      </c>
      <c r="C562" s="37" t="s">
        <v>1753</v>
      </c>
      <c r="D562" s="37" t="s">
        <v>1754</v>
      </c>
      <c r="E562" s="37">
        <v>3</v>
      </c>
      <c r="F562" s="37" t="s">
        <v>77</v>
      </c>
      <c r="G562" s="37" t="s">
        <v>77</v>
      </c>
      <c r="H562" s="37" t="s">
        <v>77</v>
      </c>
      <c r="I562" s="37" t="s">
        <v>77</v>
      </c>
      <c r="J562" s="37" t="s">
        <v>77</v>
      </c>
      <c r="K562" s="37" t="s">
        <v>77</v>
      </c>
      <c r="L562" s="37" t="s">
        <v>77</v>
      </c>
      <c r="M562" s="37" t="s">
        <v>77</v>
      </c>
      <c r="N562" s="37" t="s">
        <v>77</v>
      </c>
      <c r="O562" s="37" t="s">
        <v>77</v>
      </c>
      <c r="P562" s="37" t="s">
        <v>77</v>
      </c>
      <c r="Q562" s="37" t="s">
        <v>1755</v>
      </c>
    </row>
    <row r="563" spans="1:17" ht="15">
      <c r="A563">
        <v>561</v>
      </c>
      <c r="B563" s="37" t="s">
        <v>1734</v>
      </c>
      <c r="C563" s="37" t="s">
        <v>1756</v>
      </c>
      <c r="D563" s="37" t="s">
        <v>1757</v>
      </c>
      <c r="E563" s="37">
        <v>3</v>
      </c>
      <c r="F563" s="37" t="s">
        <v>77</v>
      </c>
      <c r="G563" s="37" t="s">
        <v>77</v>
      </c>
      <c r="H563" s="37" t="s">
        <v>77</v>
      </c>
      <c r="I563" s="37" t="s">
        <v>77</v>
      </c>
      <c r="J563" s="37" t="s">
        <v>77</v>
      </c>
      <c r="K563" s="37" t="s">
        <v>77</v>
      </c>
      <c r="L563" s="37" t="s">
        <v>77</v>
      </c>
      <c r="M563" s="37" t="s">
        <v>77</v>
      </c>
      <c r="N563" s="37" t="s">
        <v>77</v>
      </c>
      <c r="O563" s="37" t="s">
        <v>77</v>
      </c>
      <c r="P563" s="37" t="s">
        <v>77</v>
      </c>
      <c r="Q563" s="37" t="s">
        <v>1758</v>
      </c>
    </row>
    <row r="564" spans="1:17" ht="15">
      <c r="A564">
        <v>562</v>
      </c>
      <c r="B564" s="37" t="s">
        <v>1734</v>
      </c>
      <c r="C564" s="37" t="s">
        <v>1759</v>
      </c>
      <c r="D564" s="37" t="s">
        <v>1760</v>
      </c>
      <c r="E564" s="37">
        <v>3</v>
      </c>
      <c r="F564" s="37" t="s">
        <v>77</v>
      </c>
      <c r="G564" s="37" t="s">
        <v>77</v>
      </c>
      <c r="H564" s="37" t="s">
        <v>77</v>
      </c>
      <c r="I564" s="37" t="s">
        <v>77</v>
      </c>
      <c r="J564" s="37" t="s">
        <v>77</v>
      </c>
      <c r="K564" s="37" t="s">
        <v>77</v>
      </c>
      <c r="L564" s="37" t="s">
        <v>77</v>
      </c>
      <c r="M564" s="37" t="s">
        <v>77</v>
      </c>
      <c r="N564" s="37" t="s">
        <v>77</v>
      </c>
      <c r="O564" s="37" t="s">
        <v>77</v>
      </c>
      <c r="P564" s="37" t="s">
        <v>77</v>
      </c>
      <c r="Q564" s="37" t="s">
        <v>1761</v>
      </c>
    </row>
    <row r="565" spans="1:17" ht="15">
      <c r="A565">
        <v>563</v>
      </c>
      <c r="B565" s="37" t="s">
        <v>1734</v>
      </c>
      <c r="C565" s="37" t="s">
        <v>1762</v>
      </c>
      <c r="D565" s="37" t="s">
        <v>1763</v>
      </c>
      <c r="E565" s="37">
        <v>3</v>
      </c>
      <c r="F565" s="37" t="s">
        <v>77</v>
      </c>
      <c r="G565" s="37" t="s">
        <v>77</v>
      </c>
      <c r="H565" s="37" t="s">
        <v>77</v>
      </c>
      <c r="I565" s="37" t="s">
        <v>77</v>
      </c>
      <c r="J565" s="37" t="s">
        <v>77</v>
      </c>
      <c r="K565" s="37" t="s">
        <v>77</v>
      </c>
      <c r="L565" s="37" t="s">
        <v>77</v>
      </c>
      <c r="M565" s="37" t="s">
        <v>77</v>
      </c>
      <c r="N565" s="37" t="s">
        <v>77</v>
      </c>
      <c r="O565" s="37" t="s">
        <v>77</v>
      </c>
      <c r="P565" s="37" t="s">
        <v>77</v>
      </c>
      <c r="Q565" s="37" t="s">
        <v>1764</v>
      </c>
    </row>
    <row r="566" spans="1:17" ht="15">
      <c r="A566">
        <v>564</v>
      </c>
      <c r="B566" s="37" t="s">
        <v>1734</v>
      </c>
      <c r="C566" s="37" t="s">
        <v>1765</v>
      </c>
      <c r="D566" s="37" t="s">
        <v>1766</v>
      </c>
      <c r="E566" s="37">
        <v>3</v>
      </c>
      <c r="F566" s="37" t="s">
        <v>77</v>
      </c>
      <c r="G566" s="37" t="s">
        <v>77</v>
      </c>
      <c r="H566" s="37" t="s">
        <v>77</v>
      </c>
      <c r="I566" s="37" t="s">
        <v>77</v>
      </c>
      <c r="J566" s="37" t="s">
        <v>77</v>
      </c>
      <c r="K566" s="37" t="s">
        <v>77</v>
      </c>
      <c r="L566" s="37" t="s">
        <v>77</v>
      </c>
      <c r="M566" s="37" t="s">
        <v>77</v>
      </c>
      <c r="N566" s="37" t="s">
        <v>77</v>
      </c>
      <c r="O566" s="37" t="s">
        <v>77</v>
      </c>
      <c r="P566" s="37" t="s">
        <v>77</v>
      </c>
      <c r="Q566" s="37" t="s">
        <v>1767</v>
      </c>
    </row>
    <row r="567" spans="1:17" ht="15">
      <c r="A567">
        <v>565</v>
      </c>
      <c r="B567" s="37" t="s">
        <v>1768</v>
      </c>
      <c r="C567" s="37" t="s">
        <v>1769</v>
      </c>
      <c r="D567" s="37" t="s">
        <v>1770</v>
      </c>
      <c r="E567" s="37">
        <v>3</v>
      </c>
      <c r="F567" s="37" t="s">
        <v>77</v>
      </c>
      <c r="G567" s="37" t="s">
        <v>77</v>
      </c>
      <c r="H567" s="37" t="s">
        <v>77</v>
      </c>
      <c r="I567" s="37" t="s">
        <v>77</v>
      </c>
      <c r="J567" s="37" t="s">
        <v>77</v>
      </c>
      <c r="K567" s="37" t="s">
        <v>77</v>
      </c>
      <c r="L567" s="37" t="s">
        <v>77</v>
      </c>
      <c r="M567" s="37" t="s">
        <v>77</v>
      </c>
      <c r="N567" s="37" t="s">
        <v>77</v>
      </c>
      <c r="O567" s="37" t="s">
        <v>77</v>
      </c>
      <c r="P567" s="37" t="s">
        <v>77</v>
      </c>
      <c r="Q567" s="37" t="s">
        <v>1771</v>
      </c>
    </row>
    <row r="568" spans="1:17" ht="15">
      <c r="A568">
        <v>566</v>
      </c>
      <c r="B568" s="37" t="s">
        <v>1768</v>
      </c>
      <c r="C568" s="37" t="s">
        <v>1772</v>
      </c>
      <c r="D568" s="37" t="s">
        <v>1773</v>
      </c>
      <c r="E568" s="37">
        <v>3</v>
      </c>
      <c r="F568" s="37" t="s">
        <v>77</v>
      </c>
      <c r="G568" s="37" t="s">
        <v>77</v>
      </c>
      <c r="H568" s="37" t="s">
        <v>77</v>
      </c>
      <c r="I568" s="37" t="s">
        <v>77</v>
      </c>
      <c r="J568" s="37" t="s">
        <v>77</v>
      </c>
      <c r="K568" s="37" t="s">
        <v>77</v>
      </c>
      <c r="L568" s="37" t="s">
        <v>77</v>
      </c>
      <c r="M568" s="37" t="s">
        <v>77</v>
      </c>
      <c r="N568" s="37" t="s">
        <v>77</v>
      </c>
      <c r="O568" s="37" t="s">
        <v>77</v>
      </c>
      <c r="P568" s="37" t="s">
        <v>77</v>
      </c>
      <c r="Q568" s="37" t="s">
        <v>1774</v>
      </c>
    </row>
    <row r="569" spans="1:17" ht="15">
      <c r="A569">
        <v>567</v>
      </c>
      <c r="B569" s="37" t="s">
        <v>1768</v>
      </c>
      <c r="C569" s="37" t="s">
        <v>1775</v>
      </c>
      <c r="D569" s="37" t="s">
        <v>1776</v>
      </c>
      <c r="E569" s="37">
        <v>3</v>
      </c>
      <c r="F569" s="37" t="s">
        <v>77</v>
      </c>
      <c r="G569" s="37" t="s">
        <v>77</v>
      </c>
      <c r="H569" s="37" t="s">
        <v>77</v>
      </c>
      <c r="I569" s="37" t="s">
        <v>77</v>
      </c>
      <c r="J569" s="37" t="s">
        <v>77</v>
      </c>
      <c r="K569" s="37" t="s">
        <v>77</v>
      </c>
      <c r="L569" s="37" t="s">
        <v>77</v>
      </c>
      <c r="M569" s="37" t="s">
        <v>77</v>
      </c>
      <c r="N569" s="37" t="s">
        <v>77</v>
      </c>
      <c r="O569" s="37" t="s">
        <v>77</v>
      </c>
      <c r="P569" s="37" t="s">
        <v>77</v>
      </c>
      <c r="Q569" s="37" t="s">
        <v>1777</v>
      </c>
    </row>
    <row r="570" spans="1:17" ht="15">
      <c r="A570">
        <v>568</v>
      </c>
      <c r="B570" s="37" t="s">
        <v>1768</v>
      </c>
      <c r="C570" s="37" t="s">
        <v>1778</v>
      </c>
      <c r="D570" s="37" t="s">
        <v>1779</v>
      </c>
      <c r="E570" s="37">
        <v>3</v>
      </c>
      <c r="F570" s="37" t="s">
        <v>77</v>
      </c>
      <c r="G570" s="37" t="s">
        <v>77</v>
      </c>
      <c r="H570" s="37" t="s">
        <v>77</v>
      </c>
      <c r="I570" s="37" t="s">
        <v>77</v>
      </c>
      <c r="J570" s="37" t="s">
        <v>77</v>
      </c>
      <c r="K570" s="37" t="s">
        <v>77</v>
      </c>
      <c r="L570" s="37" t="s">
        <v>77</v>
      </c>
      <c r="M570" s="37" t="s">
        <v>77</v>
      </c>
      <c r="N570" s="37" t="s">
        <v>77</v>
      </c>
      <c r="O570" s="37" t="s">
        <v>77</v>
      </c>
      <c r="P570" s="37" t="s">
        <v>77</v>
      </c>
      <c r="Q570" s="37" t="s">
        <v>1780</v>
      </c>
    </row>
    <row r="571" spans="1:17" ht="15">
      <c r="A571">
        <v>569</v>
      </c>
      <c r="B571" s="37" t="s">
        <v>1768</v>
      </c>
      <c r="C571" s="37" t="s">
        <v>1781</v>
      </c>
      <c r="D571" s="37" t="s">
        <v>1782</v>
      </c>
      <c r="E571" s="37">
        <v>3</v>
      </c>
      <c r="F571" s="37" t="s">
        <v>77</v>
      </c>
      <c r="G571" s="37" t="s">
        <v>77</v>
      </c>
      <c r="H571" s="37" t="s">
        <v>77</v>
      </c>
      <c r="I571" s="37" t="s">
        <v>77</v>
      </c>
      <c r="J571" s="37" t="s">
        <v>77</v>
      </c>
      <c r="K571" s="37" t="s">
        <v>77</v>
      </c>
      <c r="L571" s="37" t="s">
        <v>77</v>
      </c>
      <c r="M571" s="37" t="s">
        <v>77</v>
      </c>
      <c r="N571" s="37" t="s">
        <v>78</v>
      </c>
      <c r="O571" s="37" t="s">
        <v>77</v>
      </c>
      <c r="P571" s="37" t="s">
        <v>77</v>
      </c>
      <c r="Q571" s="37" t="s">
        <v>1783</v>
      </c>
    </row>
    <row r="572" spans="1:17" ht="15">
      <c r="A572">
        <v>570</v>
      </c>
      <c r="B572" s="37" t="s">
        <v>1768</v>
      </c>
      <c r="C572" s="37" t="s">
        <v>1784</v>
      </c>
      <c r="D572" s="37" t="s">
        <v>1785</v>
      </c>
      <c r="E572" s="37">
        <v>3</v>
      </c>
      <c r="F572" s="37" t="s">
        <v>77</v>
      </c>
      <c r="G572" s="37" t="s">
        <v>77</v>
      </c>
      <c r="H572" s="37" t="s">
        <v>77</v>
      </c>
      <c r="I572" s="37" t="s">
        <v>77</v>
      </c>
      <c r="J572" s="37" t="s">
        <v>77</v>
      </c>
      <c r="K572" s="37" t="s">
        <v>77</v>
      </c>
      <c r="L572" s="37" t="s">
        <v>77</v>
      </c>
      <c r="M572" s="37" t="s">
        <v>77</v>
      </c>
      <c r="N572" s="37" t="s">
        <v>77</v>
      </c>
      <c r="O572" s="37" t="s">
        <v>77</v>
      </c>
      <c r="P572" s="37" t="s">
        <v>77</v>
      </c>
      <c r="Q572" s="37" t="s">
        <v>1786</v>
      </c>
    </row>
    <row r="573" spans="1:17" ht="15">
      <c r="A573">
        <v>571</v>
      </c>
      <c r="B573" s="37" t="s">
        <v>1768</v>
      </c>
      <c r="C573" s="37" t="s">
        <v>1787</v>
      </c>
      <c r="D573" s="37" t="s">
        <v>1788</v>
      </c>
      <c r="E573" s="37">
        <v>3</v>
      </c>
      <c r="F573" s="37" t="s">
        <v>77</v>
      </c>
      <c r="G573" s="37" t="s">
        <v>77</v>
      </c>
      <c r="H573" s="37" t="s">
        <v>77</v>
      </c>
      <c r="I573" s="37" t="s">
        <v>77</v>
      </c>
      <c r="J573" s="37" t="s">
        <v>77</v>
      </c>
      <c r="K573" s="37" t="s">
        <v>77</v>
      </c>
      <c r="L573" s="37" t="s">
        <v>77</v>
      </c>
      <c r="M573" s="37" t="s">
        <v>77</v>
      </c>
      <c r="N573" s="37" t="s">
        <v>77</v>
      </c>
      <c r="O573" s="37" t="s">
        <v>77</v>
      </c>
      <c r="P573" s="37" t="s">
        <v>77</v>
      </c>
      <c r="Q573" s="37" t="s">
        <v>1789</v>
      </c>
    </row>
    <row r="574" spans="1:17" ht="15">
      <c r="A574">
        <v>572</v>
      </c>
      <c r="B574" s="37" t="s">
        <v>1768</v>
      </c>
      <c r="C574" s="37" t="s">
        <v>1790</v>
      </c>
      <c r="D574" s="37" t="s">
        <v>1791</v>
      </c>
      <c r="E574" s="37">
        <v>3</v>
      </c>
      <c r="F574" s="37" t="s">
        <v>77</v>
      </c>
      <c r="G574" s="37" t="s">
        <v>77</v>
      </c>
      <c r="H574" s="37" t="s">
        <v>78</v>
      </c>
      <c r="I574" s="37" t="s">
        <v>77</v>
      </c>
      <c r="J574" s="37" t="s">
        <v>77</v>
      </c>
      <c r="K574" s="37" t="s">
        <v>77</v>
      </c>
      <c r="L574" s="37" t="s">
        <v>77</v>
      </c>
      <c r="M574" s="37" t="s">
        <v>77</v>
      </c>
      <c r="N574" s="37" t="s">
        <v>77</v>
      </c>
      <c r="O574" s="37" t="s">
        <v>77</v>
      </c>
      <c r="P574" s="37" t="s">
        <v>78</v>
      </c>
      <c r="Q574" s="37" t="s">
        <v>1792</v>
      </c>
    </row>
    <row r="575" spans="1:17" ht="15">
      <c r="A575">
        <v>573</v>
      </c>
      <c r="B575" s="37" t="s">
        <v>1768</v>
      </c>
      <c r="C575" s="37" t="s">
        <v>1793</v>
      </c>
      <c r="D575" s="37" t="s">
        <v>1794</v>
      </c>
      <c r="E575" s="37">
        <v>3</v>
      </c>
      <c r="F575" s="37" t="s">
        <v>77</v>
      </c>
      <c r="G575" s="37" t="s">
        <v>77</v>
      </c>
      <c r="H575" s="37" t="s">
        <v>77</v>
      </c>
      <c r="I575" s="37" t="s">
        <v>77</v>
      </c>
      <c r="J575" s="37" t="s">
        <v>77</v>
      </c>
      <c r="K575" s="37" t="s">
        <v>77</v>
      </c>
      <c r="L575" s="37" t="s">
        <v>77</v>
      </c>
      <c r="M575" s="37" t="s">
        <v>77</v>
      </c>
      <c r="N575" s="37" t="s">
        <v>77</v>
      </c>
      <c r="O575" s="37" t="s">
        <v>77</v>
      </c>
      <c r="P575" s="37" t="s">
        <v>78</v>
      </c>
      <c r="Q575" s="37" t="s">
        <v>1795</v>
      </c>
    </row>
    <row r="576" spans="1:17" ht="15">
      <c r="A576">
        <v>574</v>
      </c>
      <c r="B576" s="37" t="s">
        <v>1768</v>
      </c>
      <c r="C576" s="37" t="s">
        <v>1796</v>
      </c>
      <c r="D576" s="37" t="s">
        <v>1797</v>
      </c>
      <c r="E576" s="37">
        <v>3</v>
      </c>
      <c r="F576" s="37" t="s">
        <v>77</v>
      </c>
      <c r="G576" s="37" t="s">
        <v>77</v>
      </c>
      <c r="H576" s="37" t="s">
        <v>77</v>
      </c>
      <c r="I576" s="37" t="s">
        <v>77</v>
      </c>
      <c r="J576" s="37" t="s">
        <v>77</v>
      </c>
      <c r="K576" s="37" t="s">
        <v>77</v>
      </c>
      <c r="L576" s="37" t="s">
        <v>77</v>
      </c>
      <c r="M576" s="37" t="s">
        <v>77</v>
      </c>
      <c r="N576" s="37" t="s">
        <v>77</v>
      </c>
      <c r="O576" s="37" t="s">
        <v>77</v>
      </c>
      <c r="P576" s="37" t="s">
        <v>77</v>
      </c>
      <c r="Q576" s="37" t="s">
        <v>1798</v>
      </c>
    </row>
    <row r="577" spans="1:17" ht="15">
      <c r="A577">
        <v>575</v>
      </c>
      <c r="B577" s="37" t="s">
        <v>1768</v>
      </c>
      <c r="C577" s="37" t="s">
        <v>1799</v>
      </c>
      <c r="D577" s="37" t="s">
        <v>1800</v>
      </c>
      <c r="E577" s="37">
        <v>3</v>
      </c>
      <c r="F577" s="37" t="s">
        <v>77</v>
      </c>
      <c r="G577" s="37" t="s">
        <v>77</v>
      </c>
      <c r="H577" s="37" t="s">
        <v>77</v>
      </c>
      <c r="I577" s="37" t="s">
        <v>77</v>
      </c>
      <c r="J577" s="37" t="s">
        <v>77</v>
      </c>
      <c r="K577" s="37" t="s">
        <v>77</v>
      </c>
      <c r="L577" s="37" t="s">
        <v>77</v>
      </c>
      <c r="M577" s="37" t="s">
        <v>77</v>
      </c>
      <c r="N577" s="37" t="s">
        <v>77</v>
      </c>
      <c r="O577" s="37" t="s">
        <v>77</v>
      </c>
      <c r="P577" s="37" t="s">
        <v>77</v>
      </c>
      <c r="Q577" s="37" t="s">
        <v>1801</v>
      </c>
    </row>
    <row r="578" spans="1:17" ht="15">
      <c r="A578">
        <v>576</v>
      </c>
      <c r="B578" s="37" t="s">
        <v>1768</v>
      </c>
      <c r="C578" s="37" t="s">
        <v>1802</v>
      </c>
      <c r="D578" s="37" t="s">
        <v>1803</v>
      </c>
      <c r="E578" s="37">
        <v>3</v>
      </c>
      <c r="F578" s="37" t="s">
        <v>77</v>
      </c>
      <c r="G578" s="37" t="s">
        <v>77</v>
      </c>
      <c r="H578" s="37" t="s">
        <v>77</v>
      </c>
      <c r="I578" s="37" t="s">
        <v>77</v>
      </c>
      <c r="J578" s="37" t="s">
        <v>77</v>
      </c>
      <c r="K578" s="37" t="s">
        <v>77</v>
      </c>
      <c r="L578" s="37" t="s">
        <v>77</v>
      </c>
      <c r="M578" s="37" t="s">
        <v>77</v>
      </c>
      <c r="N578" s="37" t="s">
        <v>77</v>
      </c>
      <c r="O578" s="37" t="s">
        <v>77</v>
      </c>
      <c r="P578" s="37" t="s">
        <v>77</v>
      </c>
      <c r="Q578" s="37" t="s">
        <v>1804</v>
      </c>
    </row>
    <row r="579" spans="1:17" ht="15">
      <c r="A579">
        <v>577</v>
      </c>
      <c r="B579" s="37" t="s">
        <v>1768</v>
      </c>
      <c r="C579" s="37" t="s">
        <v>1805</v>
      </c>
      <c r="D579" s="37" t="s">
        <v>1806</v>
      </c>
      <c r="E579" s="37">
        <v>3</v>
      </c>
      <c r="F579" s="37" t="s">
        <v>77</v>
      </c>
      <c r="G579" s="37" t="s">
        <v>77</v>
      </c>
      <c r="H579" s="37" t="s">
        <v>77</v>
      </c>
      <c r="I579" s="37" t="s">
        <v>77</v>
      </c>
      <c r="J579" s="37" t="s">
        <v>77</v>
      </c>
      <c r="K579" s="37" t="s">
        <v>77</v>
      </c>
      <c r="L579" s="37" t="s">
        <v>77</v>
      </c>
      <c r="M579" s="37" t="s">
        <v>77</v>
      </c>
      <c r="N579" s="37" t="s">
        <v>77</v>
      </c>
      <c r="O579" s="37" t="s">
        <v>77</v>
      </c>
      <c r="P579" s="37" t="s">
        <v>77</v>
      </c>
      <c r="Q579" s="37" t="s">
        <v>1807</v>
      </c>
    </row>
    <row r="580" spans="1:17" ht="15">
      <c r="A580">
        <v>578</v>
      </c>
      <c r="B580" s="37" t="s">
        <v>1768</v>
      </c>
      <c r="C580" s="37" t="s">
        <v>1808</v>
      </c>
      <c r="D580" s="37" t="s">
        <v>1809</v>
      </c>
      <c r="E580" s="37">
        <v>3</v>
      </c>
      <c r="F580" s="37" t="s">
        <v>77</v>
      </c>
      <c r="G580" s="37" t="s">
        <v>77</v>
      </c>
      <c r="H580" s="37" t="s">
        <v>77</v>
      </c>
      <c r="I580" s="37" t="s">
        <v>77</v>
      </c>
      <c r="J580" s="37" t="s">
        <v>77</v>
      </c>
      <c r="K580" s="37" t="s">
        <v>77</v>
      </c>
      <c r="L580" s="37" t="s">
        <v>77</v>
      </c>
      <c r="M580" s="37" t="s">
        <v>77</v>
      </c>
      <c r="N580" s="37" t="s">
        <v>77</v>
      </c>
      <c r="O580" s="37" t="s">
        <v>77</v>
      </c>
      <c r="P580" s="37" t="s">
        <v>77</v>
      </c>
      <c r="Q580" s="37" t="s">
        <v>1810</v>
      </c>
    </row>
    <row r="581" spans="1:17" ht="15">
      <c r="A581">
        <v>579</v>
      </c>
      <c r="B581" s="37" t="s">
        <v>1768</v>
      </c>
      <c r="C581" s="37" t="s">
        <v>1811</v>
      </c>
      <c r="D581" s="37" t="s">
        <v>1812</v>
      </c>
      <c r="E581" s="37">
        <v>3</v>
      </c>
      <c r="F581" s="37" t="s">
        <v>77</v>
      </c>
      <c r="G581" s="37" t="s">
        <v>77</v>
      </c>
      <c r="H581" s="37" t="s">
        <v>77</v>
      </c>
      <c r="I581" s="37" t="s">
        <v>77</v>
      </c>
      <c r="J581" s="37" t="s">
        <v>77</v>
      </c>
      <c r="K581" s="37" t="s">
        <v>77</v>
      </c>
      <c r="L581" s="37" t="s">
        <v>77</v>
      </c>
      <c r="M581" s="37" t="s">
        <v>77</v>
      </c>
      <c r="N581" s="37" t="s">
        <v>77</v>
      </c>
      <c r="O581" s="37" t="s">
        <v>77</v>
      </c>
      <c r="P581" s="37" t="s">
        <v>77</v>
      </c>
      <c r="Q581" s="37" t="s">
        <v>1813</v>
      </c>
    </row>
    <row r="582" spans="1:17" ht="15">
      <c r="A582">
        <v>580</v>
      </c>
      <c r="B582" s="37" t="s">
        <v>1768</v>
      </c>
      <c r="C582" s="37" t="s">
        <v>1814</v>
      </c>
      <c r="D582" s="37" t="s">
        <v>1815</v>
      </c>
      <c r="E582" s="37">
        <v>3</v>
      </c>
      <c r="F582" s="37" t="s">
        <v>77</v>
      </c>
      <c r="G582" s="37" t="s">
        <v>77</v>
      </c>
      <c r="H582" s="37" t="s">
        <v>77</v>
      </c>
      <c r="I582" s="37" t="s">
        <v>77</v>
      </c>
      <c r="J582" s="37" t="s">
        <v>77</v>
      </c>
      <c r="K582" s="37" t="s">
        <v>77</v>
      </c>
      <c r="L582" s="37" t="s">
        <v>77</v>
      </c>
      <c r="M582" s="37" t="s">
        <v>77</v>
      </c>
      <c r="N582" s="37" t="s">
        <v>77</v>
      </c>
      <c r="O582" s="37" t="s">
        <v>77</v>
      </c>
      <c r="P582" s="37" t="s">
        <v>77</v>
      </c>
      <c r="Q582" s="37" t="s">
        <v>1816</v>
      </c>
    </row>
    <row r="583" spans="1:17" ht="15">
      <c r="A583">
        <v>581</v>
      </c>
      <c r="B583" s="37" t="s">
        <v>1768</v>
      </c>
      <c r="C583" s="37" t="s">
        <v>1817</v>
      </c>
      <c r="D583" s="37" t="s">
        <v>1818</v>
      </c>
      <c r="E583" s="37">
        <v>3</v>
      </c>
      <c r="F583" s="37" t="s">
        <v>77</v>
      </c>
      <c r="G583" s="37" t="s">
        <v>77</v>
      </c>
      <c r="H583" s="37" t="s">
        <v>77</v>
      </c>
      <c r="I583" s="37" t="s">
        <v>77</v>
      </c>
      <c r="J583" s="37" t="s">
        <v>77</v>
      </c>
      <c r="K583" s="37" t="s">
        <v>77</v>
      </c>
      <c r="L583" s="37" t="s">
        <v>77</v>
      </c>
      <c r="M583" s="37" t="s">
        <v>77</v>
      </c>
      <c r="N583" s="37" t="s">
        <v>77</v>
      </c>
      <c r="O583" s="37" t="s">
        <v>77</v>
      </c>
      <c r="P583" s="37" t="s">
        <v>77</v>
      </c>
      <c r="Q583" s="37" t="s">
        <v>1819</v>
      </c>
    </row>
    <row r="584" spans="1:17" ht="15">
      <c r="A584">
        <v>582</v>
      </c>
      <c r="B584" s="37" t="s">
        <v>1768</v>
      </c>
      <c r="C584" s="37" t="s">
        <v>1820</v>
      </c>
      <c r="D584" s="37" t="s">
        <v>1821</v>
      </c>
      <c r="E584" s="37">
        <v>3</v>
      </c>
      <c r="F584" s="37" t="s">
        <v>77</v>
      </c>
      <c r="G584" s="37" t="s">
        <v>77</v>
      </c>
      <c r="H584" s="37" t="s">
        <v>77</v>
      </c>
      <c r="I584" s="37" t="s">
        <v>77</v>
      </c>
      <c r="J584" s="37" t="s">
        <v>77</v>
      </c>
      <c r="K584" s="37" t="s">
        <v>77</v>
      </c>
      <c r="L584" s="37" t="s">
        <v>77</v>
      </c>
      <c r="M584" s="37" t="s">
        <v>77</v>
      </c>
      <c r="N584" s="37" t="s">
        <v>77</v>
      </c>
      <c r="O584" s="37" t="s">
        <v>77</v>
      </c>
      <c r="P584" s="37" t="s">
        <v>77</v>
      </c>
      <c r="Q584" s="37" t="s">
        <v>1822</v>
      </c>
    </row>
    <row r="585" spans="1:17" ht="15">
      <c r="A585">
        <v>583</v>
      </c>
      <c r="B585" s="37" t="s">
        <v>1768</v>
      </c>
      <c r="C585" s="37" t="s">
        <v>1823</v>
      </c>
      <c r="D585" s="37" t="s">
        <v>1824</v>
      </c>
      <c r="E585" s="37">
        <v>3</v>
      </c>
      <c r="F585" s="37" t="s">
        <v>77</v>
      </c>
      <c r="G585" s="37" t="s">
        <v>77</v>
      </c>
      <c r="H585" s="37" t="s">
        <v>77</v>
      </c>
      <c r="I585" s="37" t="s">
        <v>77</v>
      </c>
      <c r="J585" s="37" t="s">
        <v>77</v>
      </c>
      <c r="K585" s="37" t="s">
        <v>77</v>
      </c>
      <c r="L585" s="37" t="s">
        <v>77</v>
      </c>
      <c r="M585" s="37" t="s">
        <v>77</v>
      </c>
      <c r="N585" s="37" t="s">
        <v>77</v>
      </c>
      <c r="O585" s="37" t="s">
        <v>77</v>
      </c>
      <c r="P585" s="37" t="s">
        <v>77</v>
      </c>
      <c r="Q585" s="37" t="s">
        <v>1825</v>
      </c>
    </row>
    <row r="586" spans="1:17" ht="15">
      <c r="A586">
        <v>584</v>
      </c>
      <c r="B586" s="37" t="s">
        <v>1768</v>
      </c>
      <c r="C586" s="37" t="s">
        <v>1826</v>
      </c>
      <c r="D586" s="37" t="s">
        <v>1827</v>
      </c>
      <c r="E586" s="37">
        <v>3</v>
      </c>
      <c r="F586" s="37" t="s">
        <v>77</v>
      </c>
      <c r="G586" s="37" t="s">
        <v>77</v>
      </c>
      <c r="H586" s="37" t="s">
        <v>77</v>
      </c>
      <c r="I586" s="37" t="s">
        <v>77</v>
      </c>
      <c r="J586" s="37" t="s">
        <v>77</v>
      </c>
      <c r="K586" s="37" t="s">
        <v>77</v>
      </c>
      <c r="L586" s="37" t="s">
        <v>77</v>
      </c>
      <c r="M586" s="37" t="s">
        <v>77</v>
      </c>
      <c r="N586" s="37" t="s">
        <v>77</v>
      </c>
      <c r="O586" s="37" t="s">
        <v>77</v>
      </c>
      <c r="P586" s="37" t="s">
        <v>77</v>
      </c>
      <c r="Q586" s="37" t="s">
        <v>1828</v>
      </c>
    </row>
    <row r="587" spans="1:17" ht="15">
      <c r="A587">
        <v>585</v>
      </c>
      <c r="B587" s="37" t="s">
        <v>1768</v>
      </c>
      <c r="C587" s="37" t="s">
        <v>1829</v>
      </c>
      <c r="D587" s="37" t="s">
        <v>1830</v>
      </c>
      <c r="E587" s="37">
        <v>3</v>
      </c>
      <c r="F587" s="37" t="s">
        <v>77</v>
      </c>
      <c r="G587" s="37" t="s">
        <v>77</v>
      </c>
      <c r="H587" s="37" t="s">
        <v>77</v>
      </c>
      <c r="I587" s="37" t="s">
        <v>77</v>
      </c>
      <c r="J587" s="37" t="s">
        <v>77</v>
      </c>
      <c r="K587" s="37" t="s">
        <v>77</v>
      </c>
      <c r="L587" s="37" t="s">
        <v>77</v>
      </c>
      <c r="M587" s="37" t="s">
        <v>77</v>
      </c>
      <c r="N587" s="37" t="s">
        <v>77</v>
      </c>
      <c r="O587" s="37" t="s">
        <v>77</v>
      </c>
      <c r="P587" s="37" t="s">
        <v>77</v>
      </c>
      <c r="Q587" s="37" t="s">
        <v>1831</v>
      </c>
    </row>
    <row r="588" spans="1:17" ht="15">
      <c r="A588">
        <v>586</v>
      </c>
      <c r="B588" s="37" t="s">
        <v>1768</v>
      </c>
      <c r="C588" s="37" t="s">
        <v>1832</v>
      </c>
      <c r="D588" s="37" t="s">
        <v>1833</v>
      </c>
      <c r="E588" s="37">
        <v>3</v>
      </c>
      <c r="F588" s="37" t="s">
        <v>77</v>
      </c>
      <c r="G588" s="37" t="s">
        <v>77</v>
      </c>
      <c r="H588" s="37" t="s">
        <v>77</v>
      </c>
      <c r="I588" s="37" t="s">
        <v>77</v>
      </c>
      <c r="J588" s="37" t="s">
        <v>77</v>
      </c>
      <c r="K588" s="37" t="s">
        <v>77</v>
      </c>
      <c r="L588" s="37" t="s">
        <v>77</v>
      </c>
      <c r="M588" s="37" t="s">
        <v>77</v>
      </c>
      <c r="N588" s="37" t="s">
        <v>77</v>
      </c>
      <c r="O588" s="37" t="s">
        <v>77</v>
      </c>
      <c r="P588" s="37" t="s">
        <v>77</v>
      </c>
      <c r="Q588" s="37" t="s">
        <v>1834</v>
      </c>
    </row>
    <row r="589" spans="1:17" ht="15">
      <c r="A589">
        <v>587</v>
      </c>
      <c r="B589" s="37" t="s">
        <v>1768</v>
      </c>
      <c r="C589" s="37" t="s">
        <v>1835</v>
      </c>
      <c r="D589" s="37" t="s">
        <v>1836</v>
      </c>
      <c r="E589" s="37">
        <v>3</v>
      </c>
      <c r="F589" s="37" t="s">
        <v>77</v>
      </c>
      <c r="G589" s="37" t="s">
        <v>77</v>
      </c>
      <c r="H589" s="37" t="s">
        <v>77</v>
      </c>
      <c r="I589" s="37" t="s">
        <v>77</v>
      </c>
      <c r="J589" s="37" t="s">
        <v>77</v>
      </c>
      <c r="K589" s="37" t="s">
        <v>77</v>
      </c>
      <c r="L589" s="37" t="s">
        <v>77</v>
      </c>
      <c r="M589" s="37" t="s">
        <v>77</v>
      </c>
      <c r="N589" s="37" t="s">
        <v>77</v>
      </c>
      <c r="O589" s="37" t="s">
        <v>77</v>
      </c>
      <c r="P589" s="37" t="s">
        <v>77</v>
      </c>
      <c r="Q589" s="37" t="s">
        <v>1837</v>
      </c>
    </row>
    <row r="590" spans="1:17" ht="15">
      <c r="A590">
        <v>588</v>
      </c>
      <c r="B590" s="37" t="s">
        <v>1768</v>
      </c>
      <c r="C590" s="37" t="s">
        <v>1838</v>
      </c>
      <c r="D590" s="37" t="s">
        <v>1839</v>
      </c>
      <c r="E590" s="37">
        <v>3</v>
      </c>
      <c r="F590" s="37" t="s">
        <v>77</v>
      </c>
      <c r="G590" s="37" t="s">
        <v>77</v>
      </c>
      <c r="H590" s="37" t="s">
        <v>77</v>
      </c>
      <c r="I590" s="37" t="s">
        <v>77</v>
      </c>
      <c r="J590" s="37" t="s">
        <v>77</v>
      </c>
      <c r="K590" s="37" t="s">
        <v>77</v>
      </c>
      <c r="L590" s="37" t="s">
        <v>77</v>
      </c>
      <c r="M590" s="37" t="s">
        <v>77</v>
      </c>
      <c r="N590" s="37" t="s">
        <v>77</v>
      </c>
      <c r="O590" s="37" t="s">
        <v>77</v>
      </c>
      <c r="P590" s="37" t="s">
        <v>77</v>
      </c>
      <c r="Q590" s="37" t="s">
        <v>1840</v>
      </c>
    </row>
    <row r="591" spans="1:17" ht="15">
      <c r="A591">
        <v>589</v>
      </c>
      <c r="B591" s="37" t="s">
        <v>1768</v>
      </c>
      <c r="C591" s="37" t="s">
        <v>1841</v>
      </c>
      <c r="D591" s="37" t="s">
        <v>1842</v>
      </c>
      <c r="E591" s="37">
        <v>3</v>
      </c>
      <c r="F591" s="37" t="s">
        <v>77</v>
      </c>
      <c r="G591" s="37" t="s">
        <v>77</v>
      </c>
      <c r="H591" s="37" t="s">
        <v>77</v>
      </c>
      <c r="I591" s="37" t="s">
        <v>77</v>
      </c>
      <c r="J591" s="37" t="s">
        <v>77</v>
      </c>
      <c r="K591" s="37" t="s">
        <v>77</v>
      </c>
      <c r="L591" s="37" t="s">
        <v>77</v>
      </c>
      <c r="M591" s="37" t="s">
        <v>77</v>
      </c>
      <c r="N591" s="37" t="s">
        <v>77</v>
      </c>
      <c r="O591" s="37" t="s">
        <v>77</v>
      </c>
      <c r="P591" s="37" t="s">
        <v>78</v>
      </c>
      <c r="Q591" s="37" t="s">
        <v>1843</v>
      </c>
    </row>
    <row r="592" spans="1:17" ht="15">
      <c r="A592">
        <v>590</v>
      </c>
      <c r="B592" s="37" t="s">
        <v>1768</v>
      </c>
      <c r="C592" s="37" t="s">
        <v>1844</v>
      </c>
      <c r="D592" s="37" t="s">
        <v>1845</v>
      </c>
      <c r="E592" s="37">
        <v>3</v>
      </c>
      <c r="F592" s="37" t="s">
        <v>77</v>
      </c>
      <c r="G592" s="37" t="s">
        <v>77</v>
      </c>
      <c r="H592" s="37" t="s">
        <v>77</v>
      </c>
      <c r="I592" s="37" t="s">
        <v>77</v>
      </c>
      <c r="J592" s="37" t="s">
        <v>77</v>
      </c>
      <c r="K592" s="37" t="s">
        <v>77</v>
      </c>
      <c r="L592" s="37" t="s">
        <v>77</v>
      </c>
      <c r="M592" s="37" t="s">
        <v>77</v>
      </c>
      <c r="N592" s="37" t="s">
        <v>77</v>
      </c>
      <c r="O592" s="37" t="s">
        <v>77</v>
      </c>
      <c r="P592" s="37" t="s">
        <v>77</v>
      </c>
      <c r="Q592" s="37" t="s">
        <v>1846</v>
      </c>
    </row>
    <row r="593" spans="1:17" ht="15">
      <c r="A593">
        <v>591</v>
      </c>
      <c r="B593" s="37" t="s">
        <v>1768</v>
      </c>
      <c r="C593" s="37" t="s">
        <v>1847</v>
      </c>
      <c r="D593" s="37" t="s">
        <v>1848</v>
      </c>
      <c r="E593" s="37">
        <v>3</v>
      </c>
      <c r="F593" s="37" t="s">
        <v>77</v>
      </c>
      <c r="G593" s="37" t="s">
        <v>77</v>
      </c>
      <c r="H593" s="37" t="s">
        <v>77</v>
      </c>
      <c r="I593" s="37" t="s">
        <v>77</v>
      </c>
      <c r="J593" s="37" t="s">
        <v>77</v>
      </c>
      <c r="K593" s="37" t="s">
        <v>77</v>
      </c>
      <c r="L593" s="37" t="s">
        <v>77</v>
      </c>
      <c r="M593" s="37" t="s">
        <v>77</v>
      </c>
      <c r="N593" s="37" t="s">
        <v>77</v>
      </c>
      <c r="O593" s="37" t="s">
        <v>77</v>
      </c>
      <c r="P593" s="37" t="s">
        <v>77</v>
      </c>
      <c r="Q593" s="37" t="s">
        <v>1849</v>
      </c>
    </row>
    <row r="594" spans="1:17" ht="15">
      <c r="A594">
        <v>592</v>
      </c>
      <c r="B594" s="37" t="s">
        <v>1768</v>
      </c>
      <c r="C594" s="37" t="s">
        <v>1850</v>
      </c>
      <c r="D594" s="37" t="s">
        <v>1851</v>
      </c>
      <c r="E594" s="37">
        <v>3</v>
      </c>
      <c r="F594" s="37" t="s">
        <v>77</v>
      </c>
      <c r="G594" s="37" t="s">
        <v>77</v>
      </c>
      <c r="H594" s="37" t="s">
        <v>77</v>
      </c>
      <c r="I594" s="37" t="s">
        <v>77</v>
      </c>
      <c r="J594" s="37" t="s">
        <v>77</v>
      </c>
      <c r="K594" s="37" t="s">
        <v>77</v>
      </c>
      <c r="L594" s="37" t="s">
        <v>77</v>
      </c>
      <c r="M594" s="37" t="s">
        <v>77</v>
      </c>
      <c r="N594" s="37" t="s">
        <v>77</v>
      </c>
      <c r="O594" s="37" t="s">
        <v>77</v>
      </c>
      <c r="P594" s="37" t="s">
        <v>77</v>
      </c>
      <c r="Q594" s="37" t="s">
        <v>1852</v>
      </c>
    </row>
    <row r="595" spans="1:17" ht="15">
      <c r="A595">
        <v>593</v>
      </c>
      <c r="B595" s="37" t="s">
        <v>1768</v>
      </c>
      <c r="C595" s="37" t="s">
        <v>1853</v>
      </c>
      <c r="D595" s="37" t="s">
        <v>1854</v>
      </c>
      <c r="E595" s="37">
        <v>3</v>
      </c>
      <c r="F595" s="37" t="s">
        <v>77</v>
      </c>
      <c r="G595" s="37" t="s">
        <v>77</v>
      </c>
      <c r="H595" s="37" t="s">
        <v>77</v>
      </c>
      <c r="I595" s="37" t="s">
        <v>77</v>
      </c>
      <c r="J595" s="37" t="s">
        <v>77</v>
      </c>
      <c r="K595" s="37" t="s">
        <v>77</v>
      </c>
      <c r="L595" s="37" t="s">
        <v>77</v>
      </c>
      <c r="M595" s="37" t="s">
        <v>77</v>
      </c>
      <c r="N595" s="37" t="s">
        <v>77</v>
      </c>
      <c r="O595" s="37" t="s">
        <v>77</v>
      </c>
      <c r="P595" s="37" t="s">
        <v>77</v>
      </c>
      <c r="Q595" s="37" t="s">
        <v>1855</v>
      </c>
    </row>
    <row r="596" spans="1:17" ht="15">
      <c r="A596">
        <v>594</v>
      </c>
      <c r="B596" s="37" t="s">
        <v>1768</v>
      </c>
      <c r="C596" s="37" t="s">
        <v>1856</v>
      </c>
      <c r="D596" s="37" t="s">
        <v>1857</v>
      </c>
      <c r="E596" s="37">
        <v>3</v>
      </c>
      <c r="F596" s="37" t="s">
        <v>77</v>
      </c>
      <c r="G596" s="37" t="s">
        <v>77</v>
      </c>
      <c r="H596" s="37" t="s">
        <v>77</v>
      </c>
      <c r="I596" s="37" t="s">
        <v>77</v>
      </c>
      <c r="J596" s="37" t="s">
        <v>77</v>
      </c>
      <c r="K596" s="37" t="s">
        <v>77</v>
      </c>
      <c r="L596" s="37" t="s">
        <v>77</v>
      </c>
      <c r="M596" s="37" t="s">
        <v>77</v>
      </c>
      <c r="N596" s="37" t="s">
        <v>77</v>
      </c>
      <c r="O596" s="37" t="s">
        <v>77</v>
      </c>
      <c r="P596" s="37" t="s">
        <v>77</v>
      </c>
      <c r="Q596" s="37" t="s">
        <v>1858</v>
      </c>
    </row>
    <row r="597" spans="1:17" ht="15">
      <c r="A597">
        <v>595</v>
      </c>
      <c r="B597" s="37" t="s">
        <v>1768</v>
      </c>
      <c r="C597" s="37" t="s">
        <v>1859</v>
      </c>
      <c r="D597" s="37" t="s">
        <v>1860</v>
      </c>
      <c r="E597" s="37">
        <v>3</v>
      </c>
      <c r="F597" s="37" t="s">
        <v>77</v>
      </c>
      <c r="G597" s="37" t="s">
        <v>77</v>
      </c>
      <c r="H597" s="37" t="s">
        <v>77</v>
      </c>
      <c r="I597" s="37" t="s">
        <v>77</v>
      </c>
      <c r="J597" s="37" t="s">
        <v>77</v>
      </c>
      <c r="K597" s="37" t="s">
        <v>77</v>
      </c>
      <c r="L597" s="37" t="s">
        <v>77</v>
      </c>
      <c r="M597" s="37" t="s">
        <v>77</v>
      </c>
      <c r="N597" s="37" t="s">
        <v>77</v>
      </c>
      <c r="O597" s="37" t="s">
        <v>77</v>
      </c>
      <c r="P597" s="37" t="s">
        <v>77</v>
      </c>
      <c r="Q597" s="37" t="s">
        <v>1861</v>
      </c>
    </row>
    <row r="598" spans="1:17" ht="15">
      <c r="A598">
        <v>596</v>
      </c>
      <c r="B598" s="37" t="s">
        <v>1768</v>
      </c>
      <c r="C598" s="37" t="s">
        <v>1862</v>
      </c>
      <c r="D598" s="37" t="s">
        <v>1863</v>
      </c>
      <c r="E598" s="37">
        <v>3</v>
      </c>
      <c r="F598" s="37" t="s">
        <v>77</v>
      </c>
      <c r="G598" s="37" t="s">
        <v>77</v>
      </c>
      <c r="H598" s="37" t="s">
        <v>77</v>
      </c>
      <c r="I598" s="37" t="s">
        <v>77</v>
      </c>
      <c r="J598" s="37" t="s">
        <v>77</v>
      </c>
      <c r="K598" s="37" t="s">
        <v>77</v>
      </c>
      <c r="L598" s="37" t="s">
        <v>77</v>
      </c>
      <c r="M598" s="37" t="s">
        <v>77</v>
      </c>
      <c r="N598" s="37" t="s">
        <v>77</v>
      </c>
      <c r="O598" s="37" t="s">
        <v>77</v>
      </c>
      <c r="P598" s="37" t="s">
        <v>77</v>
      </c>
      <c r="Q598" s="37" t="s">
        <v>1864</v>
      </c>
    </row>
    <row r="599" spans="1:17" ht="15">
      <c r="A599">
        <v>597</v>
      </c>
      <c r="B599" s="37" t="s">
        <v>1768</v>
      </c>
      <c r="C599" s="37" t="s">
        <v>1865</v>
      </c>
      <c r="D599" s="37" t="s">
        <v>1866</v>
      </c>
      <c r="E599" s="37">
        <v>3</v>
      </c>
      <c r="F599" s="37" t="s">
        <v>77</v>
      </c>
      <c r="G599" s="37" t="s">
        <v>77</v>
      </c>
      <c r="H599" s="37" t="s">
        <v>77</v>
      </c>
      <c r="I599" s="37" t="s">
        <v>77</v>
      </c>
      <c r="J599" s="37" t="s">
        <v>77</v>
      </c>
      <c r="K599" s="37" t="s">
        <v>77</v>
      </c>
      <c r="L599" s="37" t="s">
        <v>77</v>
      </c>
      <c r="M599" s="37" t="s">
        <v>77</v>
      </c>
      <c r="N599" s="37" t="s">
        <v>77</v>
      </c>
      <c r="O599" s="37" t="s">
        <v>77</v>
      </c>
      <c r="P599" s="37" t="s">
        <v>77</v>
      </c>
      <c r="Q599" s="37" t="s">
        <v>1867</v>
      </c>
    </row>
    <row r="600" spans="1:17" ht="15">
      <c r="A600">
        <v>598</v>
      </c>
      <c r="B600" s="37" t="s">
        <v>1768</v>
      </c>
      <c r="C600" s="37" t="s">
        <v>1868</v>
      </c>
      <c r="D600" s="37" t="s">
        <v>1869</v>
      </c>
      <c r="E600" s="37">
        <v>3</v>
      </c>
      <c r="F600" s="37" t="s">
        <v>77</v>
      </c>
      <c r="G600" s="37" t="s">
        <v>77</v>
      </c>
      <c r="H600" s="37" t="s">
        <v>77</v>
      </c>
      <c r="I600" s="37" t="s">
        <v>77</v>
      </c>
      <c r="J600" s="37" t="s">
        <v>77</v>
      </c>
      <c r="K600" s="37" t="s">
        <v>77</v>
      </c>
      <c r="L600" s="37" t="s">
        <v>77</v>
      </c>
      <c r="M600" s="37" t="s">
        <v>77</v>
      </c>
      <c r="N600" s="37" t="s">
        <v>77</v>
      </c>
      <c r="O600" s="37" t="s">
        <v>77</v>
      </c>
      <c r="P600" s="37" t="s">
        <v>77</v>
      </c>
      <c r="Q600" s="37" t="s">
        <v>1870</v>
      </c>
    </row>
    <row r="601" spans="1:17" ht="15">
      <c r="A601">
        <v>599</v>
      </c>
      <c r="B601" s="37" t="s">
        <v>1768</v>
      </c>
      <c r="C601" s="37" t="s">
        <v>1871</v>
      </c>
      <c r="D601" s="37" t="s">
        <v>1872</v>
      </c>
      <c r="E601" s="37">
        <v>3</v>
      </c>
      <c r="F601" s="37" t="s">
        <v>77</v>
      </c>
      <c r="G601" s="37" t="s">
        <v>77</v>
      </c>
      <c r="H601" s="37" t="s">
        <v>77</v>
      </c>
      <c r="I601" s="37" t="s">
        <v>77</v>
      </c>
      <c r="J601" s="37" t="s">
        <v>77</v>
      </c>
      <c r="K601" s="37" t="s">
        <v>77</v>
      </c>
      <c r="L601" s="37" t="s">
        <v>77</v>
      </c>
      <c r="M601" s="37" t="s">
        <v>77</v>
      </c>
      <c r="N601" s="37" t="s">
        <v>77</v>
      </c>
      <c r="O601" s="37" t="s">
        <v>77</v>
      </c>
      <c r="P601" s="37" t="s">
        <v>77</v>
      </c>
      <c r="Q601" s="37" t="s">
        <v>1873</v>
      </c>
    </row>
    <row r="602" spans="1:17" ht="15">
      <c r="A602">
        <v>600</v>
      </c>
      <c r="B602" s="37" t="s">
        <v>1768</v>
      </c>
      <c r="C602" s="37" t="s">
        <v>1874</v>
      </c>
      <c r="D602" s="37" t="s">
        <v>1875</v>
      </c>
      <c r="E602" s="37">
        <v>3</v>
      </c>
      <c r="F602" s="37" t="s">
        <v>77</v>
      </c>
      <c r="G602" s="37" t="s">
        <v>77</v>
      </c>
      <c r="H602" s="37" t="s">
        <v>77</v>
      </c>
      <c r="I602" s="37" t="s">
        <v>77</v>
      </c>
      <c r="J602" s="37" t="s">
        <v>77</v>
      </c>
      <c r="K602" s="37" t="s">
        <v>77</v>
      </c>
      <c r="L602" s="37" t="s">
        <v>77</v>
      </c>
      <c r="M602" s="37" t="s">
        <v>77</v>
      </c>
      <c r="N602" s="37" t="s">
        <v>77</v>
      </c>
      <c r="O602" s="37" t="s">
        <v>77</v>
      </c>
      <c r="P602" s="37" t="s">
        <v>77</v>
      </c>
      <c r="Q602" s="37" t="s">
        <v>1876</v>
      </c>
    </row>
    <row r="603" spans="1:17" ht="15">
      <c r="A603">
        <v>601</v>
      </c>
      <c r="B603" s="37" t="s">
        <v>1768</v>
      </c>
      <c r="C603" s="37" t="s">
        <v>1877</v>
      </c>
      <c r="D603" s="37" t="s">
        <v>1878</v>
      </c>
      <c r="E603" s="37">
        <v>3</v>
      </c>
      <c r="F603" s="37" t="s">
        <v>77</v>
      </c>
      <c r="G603" s="37" t="s">
        <v>77</v>
      </c>
      <c r="H603" s="37" t="s">
        <v>77</v>
      </c>
      <c r="I603" s="37" t="s">
        <v>77</v>
      </c>
      <c r="J603" s="37" t="s">
        <v>77</v>
      </c>
      <c r="K603" s="37" t="s">
        <v>77</v>
      </c>
      <c r="L603" s="37" t="s">
        <v>77</v>
      </c>
      <c r="M603" s="37" t="s">
        <v>77</v>
      </c>
      <c r="N603" s="37" t="s">
        <v>77</v>
      </c>
      <c r="O603" s="37" t="s">
        <v>77</v>
      </c>
      <c r="P603" s="37" t="s">
        <v>77</v>
      </c>
      <c r="Q603" s="37" t="s">
        <v>1879</v>
      </c>
    </row>
    <row r="604" spans="1:17" ht="15">
      <c r="A604">
        <v>602</v>
      </c>
      <c r="B604" s="37" t="s">
        <v>1768</v>
      </c>
      <c r="C604" s="37" t="s">
        <v>1880</v>
      </c>
      <c r="D604" s="37" t="s">
        <v>1881</v>
      </c>
      <c r="E604" s="37">
        <v>3</v>
      </c>
      <c r="F604" s="37" t="s">
        <v>77</v>
      </c>
      <c r="G604" s="37" t="s">
        <v>77</v>
      </c>
      <c r="H604" s="37" t="s">
        <v>77</v>
      </c>
      <c r="I604" s="37" t="s">
        <v>77</v>
      </c>
      <c r="J604" s="37" t="s">
        <v>77</v>
      </c>
      <c r="K604" s="37" t="s">
        <v>77</v>
      </c>
      <c r="L604" s="37" t="s">
        <v>77</v>
      </c>
      <c r="M604" s="37" t="s">
        <v>77</v>
      </c>
      <c r="N604" s="37" t="s">
        <v>77</v>
      </c>
      <c r="O604" s="37" t="s">
        <v>77</v>
      </c>
      <c r="P604" s="37" t="s">
        <v>77</v>
      </c>
      <c r="Q604" s="37" t="s">
        <v>1882</v>
      </c>
    </row>
    <row r="605" spans="1:17" ht="15">
      <c r="A605">
        <v>603</v>
      </c>
      <c r="B605" s="37" t="s">
        <v>1768</v>
      </c>
      <c r="C605" s="37" t="s">
        <v>1883</v>
      </c>
      <c r="D605" s="37" t="s">
        <v>1884</v>
      </c>
      <c r="E605" s="37">
        <v>3</v>
      </c>
      <c r="F605" s="37" t="s">
        <v>77</v>
      </c>
      <c r="G605" s="37" t="s">
        <v>77</v>
      </c>
      <c r="H605" s="37" t="s">
        <v>78</v>
      </c>
      <c r="I605" s="37" t="s">
        <v>77</v>
      </c>
      <c r="J605" s="37" t="s">
        <v>77</v>
      </c>
      <c r="K605" s="37" t="s">
        <v>77</v>
      </c>
      <c r="L605" s="37" t="s">
        <v>77</v>
      </c>
      <c r="M605" s="37" t="s">
        <v>77</v>
      </c>
      <c r="N605" s="37" t="s">
        <v>77</v>
      </c>
      <c r="O605" s="37" t="s">
        <v>78</v>
      </c>
      <c r="P605" s="37" t="s">
        <v>78</v>
      </c>
      <c r="Q605" s="37" t="s">
        <v>1885</v>
      </c>
    </row>
    <row r="606" spans="1:17" ht="15">
      <c r="A606">
        <v>604</v>
      </c>
      <c r="B606" s="37" t="s">
        <v>1768</v>
      </c>
      <c r="C606" s="37" t="s">
        <v>1886</v>
      </c>
      <c r="D606" s="37" t="s">
        <v>1887</v>
      </c>
      <c r="E606" s="37">
        <v>3</v>
      </c>
      <c r="F606" s="37" t="s">
        <v>77</v>
      </c>
      <c r="G606" s="37" t="s">
        <v>77</v>
      </c>
      <c r="H606" s="37" t="s">
        <v>77</v>
      </c>
      <c r="I606" s="37" t="s">
        <v>77</v>
      </c>
      <c r="J606" s="37" t="s">
        <v>77</v>
      </c>
      <c r="K606" s="37" t="s">
        <v>77</v>
      </c>
      <c r="L606" s="37" t="s">
        <v>77</v>
      </c>
      <c r="M606" s="37" t="s">
        <v>77</v>
      </c>
      <c r="N606" s="37" t="s">
        <v>77</v>
      </c>
      <c r="O606" s="37" t="s">
        <v>77</v>
      </c>
      <c r="P606" s="37" t="s">
        <v>77</v>
      </c>
      <c r="Q606" s="37" t="s">
        <v>1888</v>
      </c>
    </row>
    <row r="607" spans="1:17" ht="15">
      <c r="A607">
        <v>605</v>
      </c>
      <c r="B607" s="37" t="s">
        <v>1768</v>
      </c>
      <c r="C607" s="37" t="s">
        <v>1889</v>
      </c>
      <c r="D607" s="37" t="s">
        <v>1890</v>
      </c>
      <c r="E607" s="37">
        <v>3</v>
      </c>
      <c r="F607" s="37" t="s">
        <v>77</v>
      </c>
      <c r="G607" s="37" t="s">
        <v>77</v>
      </c>
      <c r="H607" s="37" t="s">
        <v>77</v>
      </c>
      <c r="I607" s="37" t="s">
        <v>77</v>
      </c>
      <c r="J607" s="37" t="s">
        <v>77</v>
      </c>
      <c r="K607" s="37" t="s">
        <v>77</v>
      </c>
      <c r="L607" s="37" t="s">
        <v>77</v>
      </c>
      <c r="M607" s="37" t="s">
        <v>77</v>
      </c>
      <c r="N607" s="37" t="s">
        <v>77</v>
      </c>
      <c r="O607" s="37" t="s">
        <v>77</v>
      </c>
      <c r="P607" s="37" t="s">
        <v>77</v>
      </c>
      <c r="Q607" s="37" t="s">
        <v>1891</v>
      </c>
    </row>
    <row r="608" spans="1:17" ht="15">
      <c r="A608">
        <v>606</v>
      </c>
      <c r="B608" s="37" t="s">
        <v>1768</v>
      </c>
      <c r="C608" s="37" t="s">
        <v>1892</v>
      </c>
      <c r="D608" s="37" t="s">
        <v>1893</v>
      </c>
      <c r="E608" s="37">
        <v>3</v>
      </c>
      <c r="F608" s="37" t="s">
        <v>77</v>
      </c>
      <c r="G608" s="37" t="s">
        <v>77</v>
      </c>
      <c r="H608" s="37" t="s">
        <v>77</v>
      </c>
      <c r="I608" s="37" t="s">
        <v>77</v>
      </c>
      <c r="J608" s="37" t="s">
        <v>77</v>
      </c>
      <c r="K608" s="37" t="s">
        <v>77</v>
      </c>
      <c r="L608" s="37" t="s">
        <v>77</v>
      </c>
      <c r="M608" s="37" t="s">
        <v>77</v>
      </c>
      <c r="N608" s="37" t="s">
        <v>77</v>
      </c>
      <c r="O608" s="37" t="s">
        <v>77</v>
      </c>
      <c r="P608" s="37" t="s">
        <v>77</v>
      </c>
      <c r="Q608" s="37" t="s">
        <v>1894</v>
      </c>
    </row>
    <row r="609" spans="1:17" ht="15">
      <c r="A609">
        <v>607</v>
      </c>
      <c r="B609" s="37" t="s">
        <v>1768</v>
      </c>
      <c r="C609" s="37" t="s">
        <v>1895</v>
      </c>
      <c r="D609" s="37" t="s">
        <v>1896</v>
      </c>
      <c r="E609" s="37">
        <v>3</v>
      </c>
      <c r="F609" s="37" t="s">
        <v>77</v>
      </c>
      <c r="G609" s="37" t="s">
        <v>77</v>
      </c>
      <c r="H609" s="37" t="s">
        <v>77</v>
      </c>
      <c r="I609" s="37" t="s">
        <v>77</v>
      </c>
      <c r="J609" s="37" t="s">
        <v>77</v>
      </c>
      <c r="K609" s="37" t="s">
        <v>77</v>
      </c>
      <c r="L609" s="37" t="s">
        <v>77</v>
      </c>
      <c r="M609" s="37" t="s">
        <v>77</v>
      </c>
      <c r="N609" s="37" t="s">
        <v>77</v>
      </c>
      <c r="O609" s="37" t="s">
        <v>77</v>
      </c>
      <c r="P609" s="37" t="s">
        <v>77</v>
      </c>
      <c r="Q609" s="37" t="s">
        <v>1897</v>
      </c>
    </row>
    <row r="610" spans="1:17" ht="15">
      <c r="A610">
        <v>608</v>
      </c>
      <c r="B610" s="37" t="s">
        <v>1768</v>
      </c>
      <c r="C610" s="37" t="s">
        <v>1898</v>
      </c>
      <c r="D610" s="37" t="s">
        <v>1899</v>
      </c>
      <c r="E610" s="37">
        <v>3</v>
      </c>
      <c r="F610" s="37" t="s">
        <v>77</v>
      </c>
      <c r="G610" s="37" t="s">
        <v>77</v>
      </c>
      <c r="H610" s="37" t="s">
        <v>77</v>
      </c>
      <c r="I610" s="37" t="s">
        <v>77</v>
      </c>
      <c r="J610" s="37" t="s">
        <v>77</v>
      </c>
      <c r="K610" s="37" t="s">
        <v>77</v>
      </c>
      <c r="L610" s="37" t="s">
        <v>77</v>
      </c>
      <c r="M610" s="37" t="s">
        <v>77</v>
      </c>
      <c r="N610" s="37" t="s">
        <v>77</v>
      </c>
      <c r="O610" s="37" t="s">
        <v>77</v>
      </c>
      <c r="P610" s="37" t="s">
        <v>77</v>
      </c>
      <c r="Q610" s="37" t="s">
        <v>1900</v>
      </c>
    </row>
    <row r="611" spans="1:17" ht="15">
      <c r="A611">
        <v>609</v>
      </c>
      <c r="B611" s="37" t="s">
        <v>1768</v>
      </c>
      <c r="C611" s="37" t="s">
        <v>1901</v>
      </c>
      <c r="D611" s="37" t="s">
        <v>1902</v>
      </c>
      <c r="E611" s="37">
        <v>3</v>
      </c>
      <c r="F611" s="37" t="s">
        <v>77</v>
      </c>
      <c r="G611" s="37" t="s">
        <v>77</v>
      </c>
      <c r="H611" s="37" t="s">
        <v>77</v>
      </c>
      <c r="I611" s="37" t="s">
        <v>77</v>
      </c>
      <c r="J611" s="37" t="s">
        <v>77</v>
      </c>
      <c r="K611" s="37" t="s">
        <v>77</v>
      </c>
      <c r="L611" s="37" t="s">
        <v>77</v>
      </c>
      <c r="M611" s="37" t="s">
        <v>77</v>
      </c>
      <c r="N611" s="37" t="s">
        <v>77</v>
      </c>
      <c r="O611" s="37" t="s">
        <v>77</v>
      </c>
      <c r="P611" s="37" t="s">
        <v>77</v>
      </c>
      <c r="Q611" s="37" t="s">
        <v>1903</v>
      </c>
    </row>
    <row r="612" spans="1:17" ht="15">
      <c r="A612">
        <v>610</v>
      </c>
      <c r="B612" s="37" t="s">
        <v>1768</v>
      </c>
      <c r="C612" s="37" t="s">
        <v>1904</v>
      </c>
      <c r="D612" s="37" t="s">
        <v>1905</v>
      </c>
      <c r="E612" s="37">
        <v>3</v>
      </c>
      <c r="F612" s="37" t="s">
        <v>77</v>
      </c>
      <c r="G612" s="37" t="s">
        <v>77</v>
      </c>
      <c r="H612" s="37" t="s">
        <v>77</v>
      </c>
      <c r="I612" s="37" t="s">
        <v>77</v>
      </c>
      <c r="J612" s="37" t="s">
        <v>77</v>
      </c>
      <c r="K612" s="37" t="s">
        <v>77</v>
      </c>
      <c r="L612" s="37" t="s">
        <v>77</v>
      </c>
      <c r="M612" s="37" t="s">
        <v>77</v>
      </c>
      <c r="N612" s="37" t="s">
        <v>77</v>
      </c>
      <c r="O612" s="37" t="s">
        <v>77</v>
      </c>
      <c r="P612" s="37" t="s">
        <v>77</v>
      </c>
      <c r="Q612" s="37" t="s">
        <v>1906</v>
      </c>
    </row>
    <row r="613" spans="1:17" ht="15">
      <c r="A613">
        <v>611</v>
      </c>
      <c r="B613" s="37" t="s">
        <v>1768</v>
      </c>
      <c r="C613" s="37" t="s">
        <v>1907</v>
      </c>
      <c r="D613" s="37" t="s">
        <v>1908</v>
      </c>
      <c r="E613" s="37">
        <v>3</v>
      </c>
      <c r="F613" s="37" t="s">
        <v>77</v>
      </c>
      <c r="G613" s="37" t="s">
        <v>77</v>
      </c>
      <c r="H613" s="37" t="s">
        <v>77</v>
      </c>
      <c r="I613" s="37" t="s">
        <v>77</v>
      </c>
      <c r="J613" s="37" t="s">
        <v>77</v>
      </c>
      <c r="K613" s="37" t="s">
        <v>77</v>
      </c>
      <c r="L613" s="37" t="s">
        <v>77</v>
      </c>
      <c r="M613" s="37" t="s">
        <v>77</v>
      </c>
      <c r="N613" s="37" t="s">
        <v>77</v>
      </c>
      <c r="O613" s="37" t="s">
        <v>77</v>
      </c>
      <c r="P613" s="37" t="s">
        <v>77</v>
      </c>
      <c r="Q613" s="37" t="s">
        <v>1909</v>
      </c>
    </row>
    <row r="614" spans="1:17" ht="15">
      <c r="A614">
        <v>612</v>
      </c>
      <c r="B614" s="37" t="s">
        <v>1768</v>
      </c>
      <c r="C614" s="37" t="s">
        <v>1910</v>
      </c>
      <c r="D614" s="37" t="s">
        <v>1911</v>
      </c>
      <c r="E614" s="37">
        <v>3</v>
      </c>
      <c r="F614" s="37" t="s">
        <v>77</v>
      </c>
      <c r="G614" s="37" t="s">
        <v>77</v>
      </c>
      <c r="H614" s="37" t="s">
        <v>77</v>
      </c>
      <c r="I614" s="37" t="s">
        <v>77</v>
      </c>
      <c r="J614" s="37" t="s">
        <v>77</v>
      </c>
      <c r="K614" s="37" t="s">
        <v>77</v>
      </c>
      <c r="L614" s="37" t="s">
        <v>77</v>
      </c>
      <c r="M614" s="37" t="s">
        <v>77</v>
      </c>
      <c r="N614" s="37" t="s">
        <v>77</v>
      </c>
      <c r="O614" s="37" t="s">
        <v>77</v>
      </c>
      <c r="P614" s="37" t="s">
        <v>77</v>
      </c>
      <c r="Q614" s="37" t="s">
        <v>1912</v>
      </c>
    </row>
    <row r="615" spans="1:17" ht="15">
      <c r="A615">
        <v>613</v>
      </c>
      <c r="B615" s="37" t="s">
        <v>1768</v>
      </c>
      <c r="C615" s="37" t="s">
        <v>1913</v>
      </c>
      <c r="D615" s="37" t="s">
        <v>1914</v>
      </c>
      <c r="E615" s="37">
        <v>3</v>
      </c>
      <c r="F615" s="37" t="s">
        <v>77</v>
      </c>
      <c r="G615" s="37" t="s">
        <v>77</v>
      </c>
      <c r="H615" s="37" t="s">
        <v>77</v>
      </c>
      <c r="I615" s="37" t="s">
        <v>77</v>
      </c>
      <c r="J615" s="37" t="s">
        <v>77</v>
      </c>
      <c r="K615" s="37" t="s">
        <v>77</v>
      </c>
      <c r="L615" s="37" t="s">
        <v>77</v>
      </c>
      <c r="M615" s="37" t="s">
        <v>77</v>
      </c>
      <c r="N615" s="37" t="s">
        <v>77</v>
      </c>
      <c r="O615" s="37" t="s">
        <v>77</v>
      </c>
      <c r="P615" s="37" t="s">
        <v>77</v>
      </c>
      <c r="Q615" s="37" t="s">
        <v>1915</v>
      </c>
    </row>
    <row r="616" spans="1:17" ht="15">
      <c r="A616">
        <v>614</v>
      </c>
      <c r="B616" s="37" t="s">
        <v>1768</v>
      </c>
      <c r="C616" s="37" t="s">
        <v>1916</v>
      </c>
      <c r="D616" s="37" t="s">
        <v>1917</v>
      </c>
      <c r="E616" s="37">
        <v>3</v>
      </c>
      <c r="F616" s="37" t="s">
        <v>77</v>
      </c>
      <c r="G616" s="37" t="s">
        <v>77</v>
      </c>
      <c r="H616" s="37" t="s">
        <v>77</v>
      </c>
      <c r="I616" s="37" t="s">
        <v>77</v>
      </c>
      <c r="J616" s="37" t="s">
        <v>77</v>
      </c>
      <c r="K616" s="37" t="s">
        <v>77</v>
      </c>
      <c r="L616" s="37" t="s">
        <v>77</v>
      </c>
      <c r="M616" s="37" t="s">
        <v>77</v>
      </c>
      <c r="N616" s="37" t="s">
        <v>77</v>
      </c>
      <c r="O616" s="37" t="s">
        <v>77</v>
      </c>
      <c r="P616" s="37" t="s">
        <v>77</v>
      </c>
      <c r="Q616" s="37" t="s">
        <v>1918</v>
      </c>
    </row>
    <row r="617" spans="1:17" ht="15">
      <c r="A617">
        <v>615</v>
      </c>
      <c r="B617" s="37" t="s">
        <v>1768</v>
      </c>
      <c r="C617" s="37" t="s">
        <v>1919</v>
      </c>
      <c r="D617" s="37" t="s">
        <v>1920</v>
      </c>
      <c r="E617" s="37">
        <v>3</v>
      </c>
      <c r="F617" s="37" t="s">
        <v>77</v>
      </c>
      <c r="G617" s="37" t="s">
        <v>77</v>
      </c>
      <c r="H617" s="37" t="s">
        <v>77</v>
      </c>
      <c r="I617" s="37" t="s">
        <v>77</v>
      </c>
      <c r="J617" s="37" t="s">
        <v>77</v>
      </c>
      <c r="K617" s="37" t="s">
        <v>77</v>
      </c>
      <c r="L617" s="37" t="s">
        <v>77</v>
      </c>
      <c r="M617" s="37" t="s">
        <v>77</v>
      </c>
      <c r="N617" s="37" t="s">
        <v>77</v>
      </c>
      <c r="O617" s="37" t="s">
        <v>77</v>
      </c>
      <c r="P617" s="37" t="s">
        <v>77</v>
      </c>
      <c r="Q617" s="37" t="s">
        <v>1921</v>
      </c>
    </row>
    <row r="618" spans="1:17" ht="15">
      <c r="A618">
        <v>616</v>
      </c>
      <c r="B618" s="37" t="s">
        <v>1768</v>
      </c>
      <c r="C618" s="37" t="s">
        <v>1922</v>
      </c>
      <c r="D618" s="37" t="s">
        <v>1923</v>
      </c>
      <c r="E618" s="37">
        <v>3</v>
      </c>
      <c r="F618" s="37" t="s">
        <v>77</v>
      </c>
      <c r="G618" s="37" t="s">
        <v>77</v>
      </c>
      <c r="H618" s="37" t="s">
        <v>77</v>
      </c>
      <c r="I618" s="37" t="s">
        <v>77</v>
      </c>
      <c r="J618" s="37" t="s">
        <v>77</v>
      </c>
      <c r="K618" s="37" t="s">
        <v>77</v>
      </c>
      <c r="L618" s="37" t="s">
        <v>77</v>
      </c>
      <c r="M618" s="37" t="s">
        <v>77</v>
      </c>
      <c r="N618" s="37" t="s">
        <v>77</v>
      </c>
      <c r="O618" s="37" t="s">
        <v>77</v>
      </c>
      <c r="P618" s="37" t="s">
        <v>77</v>
      </c>
      <c r="Q618" s="37" t="s">
        <v>1924</v>
      </c>
    </row>
    <row r="619" spans="1:17" ht="15">
      <c r="A619">
        <v>617</v>
      </c>
      <c r="B619" s="37" t="s">
        <v>1768</v>
      </c>
      <c r="C619" s="37" t="s">
        <v>1925</v>
      </c>
      <c r="D619" s="37" t="s">
        <v>1926</v>
      </c>
      <c r="E619" s="37">
        <v>3</v>
      </c>
      <c r="F619" s="37" t="s">
        <v>77</v>
      </c>
      <c r="G619" s="37" t="s">
        <v>77</v>
      </c>
      <c r="H619" s="37" t="s">
        <v>78</v>
      </c>
      <c r="I619" s="37" t="s">
        <v>77</v>
      </c>
      <c r="J619" s="37" t="s">
        <v>77</v>
      </c>
      <c r="K619" s="37" t="s">
        <v>77</v>
      </c>
      <c r="L619" s="37" t="s">
        <v>77</v>
      </c>
      <c r="M619" s="37" t="s">
        <v>77</v>
      </c>
      <c r="N619" s="37" t="s">
        <v>77</v>
      </c>
      <c r="O619" s="37" t="s">
        <v>77</v>
      </c>
      <c r="P619" s="37" t="s">
        <v>78</v>
      </c>
      <c r="Q619" s="37" t="s">
        <v>1927</v>
      </c>
    </row>
    <row r="620" spans="1:17" ht="15">
      <c r="A620">
        <v>618</v>
      </c>
      <c r="B620" s="37" t="s">
        <v>1768</v>
      </c>
      <c r="C620" s="37" t="s">
        <v>1928</v>
      </c>
      <c r="D620" s="37" t="s">
        <v>1929</v>
      </c>
      <c r="E620" s="37">
        <v>3</v>
      </c>
      <c r="F620" s="37" t="s">
        <v>77</v>
      </c>
      <c r="G620" s="37" t="s">
        <v>77</v>
      </c>
      <c r="H620" s="37" t="s">
        <v>77</v>
      </c>
      <c r="I620" s="37" t="s">
        <v>77</v>
      </c>
      <c r="J620" s="37" t="s">
        <v>77</v>
      </c>
      <c r="K620" s="37" t="s">
        <v>77</v>
      </c>
      <c r="L620" s="37" t="s">
        <v>77</v>
      </c>
      <c r="M620" s="37" t="s">
        <v>77</v>
      </c>
      <c r="N620" s="37" t="s">
        <v>77</v>
      </c>
      <c r="O620" s="37" t="s">
        <v>77</v>
      </c>
      <c r="P620" s="37" t="s">
        <v>77</v>
      </c>
      <c r="Q620" s="37" t="s">
        <v>1930</v>
      </c>
    </row>
    <row r="621" spans="1:17" ht="15">
      <c r="A621">
        <v>619</v>
      </c>
      <c r="B621" s="37" t="s">
        <v>1768</v>
      </c>
      <c r="C621" s="37" t="s">
        <v>1931</v>
      </c>
      <c r="D621" s="37" t="s">
        <v>1932</v>
      </c>
      <c r="E621" s="37">
        <v>3</v>
      </c>
      <c r="F621" s="37" t="s">
        <v>77</v>
      </c>
      <c r="G621" s="37" t="s">
        <v>77</v>
      </c>
      <c r="H621" s="37" t="s">
        <v>77</v>
      </c>
      <c r="I621" s="37" t="s">
        <v>77</v>
      </c>
      <c r="J621" s="37" t="s">
        <v>77</v>
      </c>
      <c r="K621" s="37" t="s">
        <v>77</v>
      </c>
      <c r="L621" s="37" t="s">
        <v>77</v>
      </c>
      <c r="M621" s="37" t="s">
        <v>77</v>
      </c>
      <c r="N621" s="37" t="s">
        <v>77</v>
      </c>
      <c r="O621" s="37" t="s">
        <v>77</v>
      </c>
      <c r="P621" s="37" t="s">
        <v>77</v>
      </c>
      <c r="Q621" s="37" t="s">
        <v>1933</v>
      </c>
    </row>
    <row r="622" spans="1:17" ht="15">
      <c r="A622">
        <v>620</v>
      </c>
      <c r="B622" s="37" t="s">
        <v>1768</v>
      </c>
      <c r="C622" s="37" t="s">
        <v>1934</v>
      </c>
      <c r="D622" s="37" t="s">
        <v>1935</v>
      </c>
      <c r="E622" s="37">
        <v>3</v>
      </c>
      <c r="F622" s="37" t="s">
        <v>77</v>
      </c>
      <c r="G622" s="37" t="s">
        <v>77</v>
      </c>
      <c r="H622" s="37" t="s">
        <v>77</v>
      </c>
      <c r="I622" s="37" t="s">
        <v>77</v>
      </c>
      <c r="J622" s="37" t="s">
        <v>77</v>
      </c>
      <c r="K622" s="37" t="s">
        <v>77</v>
      </c>
      <c r="L622" s="37" t="s">
        <v>77</v>
      </c>
      <c r="M622" s="37" t="s">
        <v>77</v>
      </c>
      <c r="N622" s="37" t="s">
        <v>77</v>
      </c>
      <c r="O622" s="37" t="s">
        <v>77</v>
      </c>
      <c r="P622" s="37" t="s">
        <v>77</v>
      </c>
      <c r="Q622" s="37" t="s">
        <v>1936</v>
      </c>
    </row>
    <row r="623" spans="1:17" ht="15">
      <c r="A623">
        <v>621</v>
      </c>
      <c r="B623" s="37" t="s">
        <v>1768</v>
      </c>
      <c r="C623" s="37" t="s">
        <v>1937</v>
      </c>
      <c r="D623" s="37" t="s">
        <v>1938</v>
      </c>
      <c r="E623" s="37">
        <v>3</v>
      </c>
      <c r="F623" s="37" t="s">
        <v>77</v>
      </c>
      <c r="G623" s="37" t="s">
        <v>77</v>
      </c>
      <c r="H623" s="37" t="s">
        <v>77</v>
      </c>
      <c r="I623" s="37" t="s">
        <v>77</v>
      </c>
      <c r="J623" s="37" t="s">
        <v>77</v>
      </c>
      <c r="K623" s="37" t="s">
        <v>77</v>
      </c>
      <c r="L623" s="37" t="s">
        <v>77</v>
      </c>
      <c r="M623" s="37" t="s">
        <v>77</v>
      </c>
      <c r="N623" s="37" t="s">
        <v>77</v>
      </c>
      <c r="O623" s="37" t="s">
        <v>77</v>
      </c>
      <c r="P623" s="37" t="s">
        <v>77</v>
      </c>
      <c r="Q623" s="37" t="s">
        <v>1939</v>
      </c>
    </row>
    <row r="624" spans="1:17" ht="15">
      <c r="A624">
        <v>622</v>
      </c>
      <c r="B624" s="37" t="s">
        <v>1768</v>
      </c>
      <c r="C624" s="37" t="s">
        <v>1940</v>
      </c>
      <c r="D624" s="37" t="s">
        <v>1941</v>
      </c>
      <c r="E624" s="37">
        <v>3</v>
      </c>
      <c r="F624" s="37" t="s">
        <v>77</v>
      </c>
      <c r="G624" s="37" t="s">
        <v>77</v>
      </c>
      <c r="H624" s="37" t="s">
        <v>77</v>
      </c>
      <c r="I624" s="37" t="s">
        <v>77</v>
      </c>
      <c r="J624" s="37" t="s">
        <v>77</v>
      </c>
      <c r="K624" s="37" t="s">
        <v>77</v>
      </c>
      <c r="L624" s="37" t="s">
        <v>77</v>
      </c>
      <c r="M624" s="37" t="s">
        <v>77</v>
      </c>
      <c r="N624" s="37" t="s">
        <v>77</v>
      </c>
      <c r="O624" s="37" t="s">
        <v>77</v>
      </c>
      <c r="P624" s="37" t="s">
        <v>77</v>
      </c>
      <c r="Q624" s="37" t="s">
        <v>1942</v>
      </c>
    </row>
    <row r="625" spans="1:17" ht="15">
      <c r="A625">
        <v>623</v>
      </c>
      <c r="B625" s="37" t="s">
        <v>1768</v>
      </c>
      <c r="C625" s="37" t="s">
        <v>1943</v>
      </c>
      <c r="D625" s="37" t="s">
        <v>1944</v>
      </c>
      <c r="E625" s="37">
        <v>3</v>
      </c>
      <c r="F625" s="37" t="s">
        <v>77</v>
      </c>
      <c r="G625" s="37" t="s">
        <v>77</v>
      </c>
      <c r="H625" s="37" t="s">
        <v>77</v>
      </c>
      <c r="I625" s="37" t="s">
        <v>77</v>
      </c>
      <c r="J625" s="37" t="s">
        <v>77</v>
      </c>
      <c r="K625" s="37" t="s">
        <v>77</v>
      </c>
      <c r="L625" s="37" t="s">
        <v>77</v>
      </c>
      <c r="M625" s="37" t="s">
        <v>77</v>
      </c>
      <c r="N625" s="37" t="s">
        <v>77</v>
      </c>
      <c r="O625" s="37" t="s">
        <v>77</v>
      </c>
      <c r="P625" s="37" t="s">
        <v>77</v>
      </c>
      <c r="Q625" s="37" t="s">
        <v>1945</v>
      </c>
    </row>
    <row r="626" spans="1:17" ht="15">
      <c r="A626">
        <v>624</v>
      </c>
      <c r="B626" s="37" t="s">
        <v>1768</v>
      </c>
      <c r="C626" s="37" t="s">
        <v>1946</v>
      </c>
      <c r="D626" s="37" t="s">
        <v>1947</v>
      </c>
      <c r="E626" s="37">
        <v>3</v>
      </c>
      <c r="F626" s="37" t="s">
        <v>77</v>
      </c>
      <c r="G626" s="37" t="s">
        <v>77</v>
      </c>
      <c r="H626" s="37" t="s">
        <v>77</v>
      </c>
      <c r="I626" s="37" t="s">
        <v>77</v>
      </c>
      <c r="J626" s="37" t="s">
        <v>77</v>
      </c>
      <c r="K626" s="37" t="s">
        <v>77</v>
      </c>
      <c r="L626" s="37" t="s">
        <v>77</v>
      </c>
      <c r="M626" s="37" t="s">
        <v>77</v>
      </c>
      <c r="N626" s="37" t="s">
        <v>77</v>
      </c>
      <c r="O626" s="37" t="s">
        <v>77</v>
      </c>
      <c r="P626" s="37" t="s">
        <v>77</v>
      </c>
      <c r="Q626" s="37" t="s">
        <v>1948</v>
      </c>
    </row>
    <row r="627" spans="1:17" ht="15">
      <c r="A627">
        <v>625</v>
      </c>
      <c r="B627" s="37" t="s">
        <v>1768</v>
      </c>
      <c r="C627" s="37" t="s">
        <v>1949</v>
      </c>
      <c r="D627" s="37" t="s">
        <v>1950</v>
      </c>
      <c r="E627" s="37">
        <v>3</v>
      </c>
      <c r="F627" s="37" t="s">
        <v>77</v>
      </c>
      <c r="G627" s="37" t="s">
        <v>77</v>
      </c>
      <c r="H627" s="37" t="s">
        <v>77</v>
      </c>
      <c r="I627" s="37" t="s">
        <v>77</v>
      </c>
      <c r="J627" s="37" t="s">
        <v>77</v>
      </c>
      <c r="K627" s="37" t="s">
        <v>77</v>
      </c>
      <c r="L627" s="37" t="s">
        <v>77</v>
      </c>
      <c r="M627" s="37" t="s">
        <v>77</v>
      </c>
      <c r="N627" s="37" t="s">
        <v>77</v>
      </c>
      <c r="O627" s="37" t="s">
        <v>77</v>
      </c>
      <c r="P627" s="37" t="s">
        <v>77</v>
      </c>
      <c r="Q627" s="37" t="s">
        <v>1951</v>
      </c>
    </row>
    <row r="628" spans="1:17" ht="15">
      <c r="A628">
        <v>626</v>
      </c>
      <c r="B628" s="37" t="s">
        <v>1768</v>
      </c>
      <c r="C628" s="37" t="s">
        <v>1952</v>
      </c>
      <c r="D628" s="37" t="s">
        <v>1953</v>
      </c>
      <c r="E628" s="37">
        <v>3</v>
      </c>
      <c r="F628" s="37" t="s">
        <v>77</v>
      </c>
      <c r="G628" s="37" t="s">
        <v>77</v>
      </c>
      <c r="H628" s="37" t="s">
        <v>77</v>
      </c>
      <c r="I628" s="37" t="s">
        <v>77</v>
      </c>
      <c r="J628" s="37" t="s">
        <v>77</v>
      </c>
      <c r="K628" s="37" t="s">
        <v>77</v>
      </c>
      <c r="L628" s="37" t="s">
        <v>77</v>
      </c>
      <c r="M628" s="37" t="s">
        <v>77</v>
      </c>
      <c r="N628" s="37" t="s">
        <v>77</v>
      </c>
      <c r="O628" s="37" t="s">
        <v>77</v>
      </c>
      <c r="P628" s="37" t="s">
        <v>77</v>
      </c>
      <c r="Q628" s="37" t="s">
        <v>1954</v>
      </c>
    </row>
    <row r="629" spans="1:17" ht="15">
      <c r="A629">
        <v>627</v>
      </c>
      <c r="B629" s="37" t="s">
        <v>1768</v>
      </c>
      <c r="C629" s="37" t="s">
        <v>1955</v>
      </c>
      <c r="D629" s="37" t="s">
        <v>1956</v>
      </c>
      <c r="E629" s="37">
        <v>3</v>
      </c>
      <c r="F629" s="37" t="s">
        <v>77</v>
      </c>
      <c r="G629" s="37" t="s">
        <v>77</v>
      </c>
      <c r="H629" s="37" t="s">
        <v>77</v>
      </c>
      <c r="I629" s="37" t="s">
        <v>77</v>
      </c>
      <c r="J629" s="37" t="s">
        <v>77</v>
      </c>
      <c r="K629" s="37" t="s">
        <v>77</v>
      </c>
      <c r="L629" s="37" t="s">
        <v>77</v>
      </c>
      <c r="M629" s="37" t="s">
        <v>77</v>
      </c>
      <c r="N629" s="37" t="s">
        <v>77</v>
      </c>
      <c r="O629" s="37" t="s">
        <v>77</v>
      </c>
      <c r="P629" s="37" t="s">
        <v>77</v>
      </c>
      <c r="Q629" s="37" t="s">
        <v>1957</v>
      </c>
    </row>
    <row r="630" spans="1:17" ht="15">
      <c r="A630">
        <v>628</v>
      </c>
      <c r="B630" s="37" t="s">
        <v>1768</v>
      </c>
      <c r="C630" s="37" t="s">
        <v>1958</v>
      </c>
      <c r="D630" s="37" t="s">
        <v>1959</v>
      </c>
      <c r="E630" s="37">
        <v>3</v>
      </c>
      <c r="F630" s="37" t="s">
        <v>77</v>
      </c>
      <c r="G630" s="37" t="s">
        <v>77</v>
      </c>
      <c r="H630" s="37" t="s">
        <v>77</v>
      </c>
      <c r="I630" s="37" t="s">
        <v>77</v>
      </c>
      <c r="J630" s="37" t="s">
        <v>77</v>
      </c>
      <c r="K630" s="37" t="s">
        <v>77</v>
      </c>
      <c r="L630" s="37" t="s">
        <v>77</v>
      </c>
      <c r="M630" s="37" t="s">
        <v>77</v>
      </c>
      <c r="N630" s="37" t="s">
        <v>77</v>
      </c>
      <c r="O630" s="37" t="s">
        <v>77</v>
      </c>
      <c r="P630" s="37" t="s">
        <v>77</v>
      </c>
      <c r="Q630" s="37" t="s">
        <v>1960</v>
      </c>
    </row>
    <row r="631" spans="1:17" ht="15">
      <c r="A631">
        <v>629</v>
      </c>
      <c r="B631" s="37" t="s">
        <v>1768</v>
      </c>
      <c r="C631" s="37" t="s">
        <v>1961</v>
      </c>
      <c r="D631" s="37" t="s">
        <v>1962</v>
      </c>
      <c r="E631" s="37">
        <v>3</v>
      </c>
      <c r="F631" s="37" t="s">
        <v>77</v>
      </c>
      <c r="G631" s="37" t="s">
        <v>77</v>
      </c>
      <c r="H631" s="37" t="s">
        <v>77</v>
      </c>
      <c r="I631" s="37" t="s">
        <v>77</v>
      </c>
      <c r="J631" s="37" t="s">
        <v>77</v>
      </c>
      <c r="K631" s="37" t="s">
        <v>77</v>
      </c>
      <c r="L631" s="37" t="s">
        <v>77</v>
      </c>
      <c r="M631" s="37" t="s">
        <v>77</v>
      </c>
      <c r="N631" s="37" t="s">
        <v>77</v>
      </c>
      <c r="O631" s="37" t="s">
        <v>77</v>
      </c>
      <c r="P631" s="37" t="s">
        <v>77</v>
      </c>
      <c r="Q631" s="37" t="s">
        <v>1963</v>
      </c>
    </row>
    <row r="632" spans="1:17" ht="15">
      <c r="A632">
        <v>630</v>
      </c>
      <c r="B632" s="37" t="s">
        <v>1768</v>
      </c>
      <c r="C632" s="37" t="s">
        <v>1964</v>
      </c>
      <c r="D632" s="37" t="s">
        <v>1965</v>
      </c>
      <c r="E632" s="37">
        <v>3</v>
      </c>
      <c r="F632" s="37" t="s">
        <v>77</v>
      </c>
      <c r="G632" s="37" t="s">
        <v>77</v>
      </c>
      <c r="H632" s="37" t="s">
        <v>77</v>
      </c>
      <c r="I632" s="37" t="s">
        <v>77</v>
      </c>
      <c r="J632" s="37" t="s">
        <v>77</v>
      </c>
      <c r="K632" s="37" t="s">
        <v>77</v>
      </c>
      <c r="L632" s="37" t="s">
        <v>77</v>
      </c>
      <c r="M632" s="37" t="s">
        <v>77</v>
      </c>
      <c r="N632" s="37" t="s">
        <v>77</v>
      </c>
      <c r="O632" s="37" t="s">
        <v>77</v>
      </c>
      <c r="P632" s="37" t="s">
        <v>77</v>
      </c>
      <c r="Q632" s="37" t="s">
        <v>1966</v>
      </c>
    </row>
    <row r="633" spans="1:17" ht="15">
      <c r="A633">
        <v>631</v>
      </c>
      <c r="B633" s="37" t="s">
        <v>1768</v>
      </c>
      <c r="C633" s="37" t="s">
        <v>1967</v>
      </c>
      <c r="D633" s="37" t="s">
        <v>1968</v>
      </c>
      <c r="E633" s="37">
        <v>3</v>
      </c>
      <c r="F633" s="37" t="s">
        <v>77</v>
      </c>
      <c r="G633" s="37" t="s">
        <v>77</v>
      </c>
      <c r="H633" s="37" t="s">
        <v>77</v>
      </c>
      <c r="I633" s="37" t="s">
        <v>77</v>
      </c>
      <c r="J633" s="37" t="s">
        <v>77</v>
      </c>
      <c r="K633" s="37" t="s">
        <v>77</v>
      </c>
      <c r="L633" s="37" t="s">
        <v>77</v>
      </c>
      <c r="M633" s="37" t="s">
        <v>77</v>
      </c>
      <c r="N633" s="37" t="s">
        <v>77</v>
      </c>
      <c r="O633" s="37" t="s">
        <v>77</v>
      </c>
      <c r="P633" s="37" t="s">
        <v>77</v>
      </c>
      <c r="Q633" s="37" t="s">
        <v>1969</v>
      </c>
    </row>
    <row r="634" spans="1:17" ht="15">
      <c r="A634">
        <v>632</v>
      </c>
      <c r="B634" s="37" t="s">
        <v>1768</v>
      </c>
      <c r="C634" s="37" t="s">
        <v>1970</v>
      </c>
      <c r="D634" s="37" t="s">
        <v>1971</v>
      </c>
      <c r="E634" s="37">
        <v>3</v>
      </c>
      <c r="F634" s="37" t="s">
        <v>77</v>
      </c>
      <c r="G634" s="37" t="s">
        <v>77</v>
      </c>
      <c r="H634" s="37" t="s">
        <v>77</v>
      </c>
      <c r="I634" s="37" t="s">
        <v>77</v>
      </c>
      <c r="J634" s="37" t="s">
        <v>77</v>
      </c>
      <c r="K634" s="37" t="s">
        <v>77</v>
      </c>
      <c r="L634" s="37" t="s">
        <v>77</v>
      </c>
      <c r="M634" s="37" t="s">
        <v>77</v>
      </c>
      <c r="N634" s="37" t="s">
        <v>77</v>
      </c>
      <c r="O634" s="37" t="s">
        <v>77</v>
      </c>
      <c r="P634" s="37" t="s">
        <v>77</v>
      </c>
      <c r="Q634" s="37" t="s">
        <v>1972</v>
      </c>
    </row>
    <row r="635" spans="1:17" ht="15">
      <c r="A635">
        <v>633</v>
      </c>
      <c r="B635" s="37" t="s">
        <v>1768</v>
      </c>
      <c r="C635" s="37" t="s">
        <v>1973</v>
      </c>
      <c r="D635" s="37" t="s">
        <v>1974</v>
      </c>
      <c r="E635" s="37">
        <v>3</v>
      </c>
      <c r="F635" s="37" t="s">
        <v>77</v>
      </c>
      <c r="G635" s="37" t="s">
        <v>77</v>
      </c>
      <c r="H635" s="37" t="s">
        <v>77</v>
      </c>
      <c r="I635" s="37" t="s">
        <v>77</v>
      </c>
      <c r="J635" s="37" t="s">
        <v>77</v>
      </c>
      <c r="K635" s="37" t="s">
        <v>77</v>
      </c>
      <c r="L635" s="37" t="s">
        <v>77</v>
      </c>
      <c r="M635" s="37" t="s">
        <v>77</v>
      </c>
      <c r="N635" s="37" t="s">
        <v>77</v>
      </c>
      <c r="O635" s="37" t="s">
        <v>77</v>
      </c>
      <c r="P635" s="37" t="s">
        <v>77</v>
      </c>
      <c r="Q635" s="37" t="s">
        <v>1975</v>
      </c>
    </row>
    <row r="636" spans="1:17" ht="15">
      <c r="A636">
        <v>634</v>
      </c>
      <c r="B636" s="37" t="s">
        <v>1768</v>
      </c>
      <c r="C636" s="37" t="s">
        <v>1976</v>
      </c>
      <c r="D636" s="37" t="s">
        <v>1977</v>
      </c>
      <c r="E636" s="37">
        <v>3</v>
      </c>
      <c r="F636" s="37" t="s">
        <v>77</v>
      </c>
      <c r="G636" s="37" t="s">
        <v>77</v>
      </c>
      <c r="H636" s="37" t="s">
        <v>77</v>
      </c>
      <c r="I636" s="37" t="s">
        <v>77</v>
      </c>
      <c r="J636" s="37" t="s">
        <v>77</v>
      </c>
      <c r="K636" s="37" t="s">
        <v>77</v>
      </c>
      <c r="L636" s="37" t="s">
        <v>77</v>
      </c>
      <c r="M636" s="37" t="s">
        <v>77</v>
      </c>
      <c r="N636" s="37" t="s">
        <v>77</v>
      </c>
      <c r="O636" s="37" t="s">
        <v>77</v>
      </c>
      <c r="P636" s="37" t="s">
        <v>77</v>
      </c>
      <c r="Q636" s="37" t="s">
        <v>1978</v>
      </c>
    </row>
    <row r="637" spans="1:17" ht="15">
      <c r="A637">
        <v>635</v>
      </c>
      <c r="B637" s="37" t="s">
        <v>1768</v>
      </c>
      <c r="C637" s="37" t="s">
        <v>1979</v>
      </c>
      <c r="D637" s="37" t="s">
        <v>1980</v>
      </c>
      <c r="E637" s="37">
        <v>3</v>
      </c>
      <c r="F637" s="37" t="s">
        <v>77</v>
      </c>
      <c r="G637" s="37" t="s">
        <v>77</v>
      </c>
      <c r="H637" s="37" t="s">
        <v>77</v>
      </c>
      <c r="I637" s="37" t="s">
        <v>77</v>
      </c>
      <c r="J637" s="37" t="s">
        <v>77</v>
      </c>
      <c r="K637" s="37" t="s">
        <v>77</v>
      </c>
      <c r="L637" s="37" t="s">
        <v>77</v>
      </c>
      <c r="M637" s="37" t="s">
        <v>77</v>
      </c>
      <c r="N637" s="37" t="s">
        <v>77</v>
      </c>
      <c r="O637" s="37" t="s">
        <v>77</v>
      </c>
      <c r="P637" s="37" t="s">
        <v>77</v>
      </c>
      <c r="Q637" s="37" t="s">
        <v>1981</v>
      </c>
    </row>
    <row r="638" spans="1:17" ht="15">
      <c r="A638">
        <v>636</v>
      </c>
      <c r="B638" s="37" t="s">
        <v>1768</v>
      </c>
      <c r="C638" s="37" t="s">
        <v>1982</v>
      </c>
      <c r="D638" s="37" t="s">
        <v>1983</v>
      </c>
      <c r="E638" s="37">
        <v>3</v>
      </c>
      <c r="F638" s="37" t="s">
        <v>77</v>
      </c>
      <c r="G638" s="37" t="s">
        <v>77</v>
      </c>
      <c r="H638" s="37" t="s">
        <v>77</v>
      </c>
      <c r="I638" s="37" t="s">
        <v>77</v>
      </c>
      <c r="J638" s="37" t="s">
        <v>77</v>
      </c>
      <c r="K638" s="37" t="s">
        <v>77</v>
      </c>
      <c r="L638" s="37" t="s">
        <v>77</v>
      </c>
      <c r="M638" s="37" t="s">
        <v>77</v>
      </c>
      <c r="N638" s="37" t="s">
        <v>77</v>
      </c>
      <c r="O638" s="37" t="s">
        <v>77</v>
      </c>
      <c r="P638" s="37" t="s">
        <v>77</v>
      </c>
      <c r="Q638" s="37" t="s">
        <v>1984</v>
      </c>
    </row>
    <row r="639" spans="1:17" ht="15">
      <c r="A639">
        <v>637</v>
      </c>
      <c r="B639" s="37" t="s">
        <v>1768</v>
      </c>
      <c r="C639" s="37" t="s">
        <v>1985</v>
      </c>
      <c r="D639" s="37" t="s">
        <v>1986</v>
      </c>
      <c r="E639" s="37">
        <v>3</v>
      </c>
      <c r="F639" s="37" t="s">
        <v>77</v>
      </c>
      <c r="G639" s="37" t="s">
        <v>77</v>
      </c>
      <c r="H639" s="37" t="s">
        <v>77</v>
      </c>
      <c r="I639" s="37" t="s">
        <v>77</v>
      </c>
      <c r="J639" s="37" t="s">
        <v>77</v>
      </c>
      <c r="K639" s="37" t="s">
        <v>77</v>
      </c>
      <c r="L639" s="37" t="s">
        <v>77</v>
      </c>
      <c r="M639" s="37" t="s">
        <v>77</v>
      </c>
      <c r="N639" s="37" t="s">
        <v>77</v>
      </c>
      <c r="O639" s="37" t="s">
        <v>77</v>
      </c>
      <c r="P639" s="37" t="s">
        <v>77</v>
      </c>
      <c r="Q639" s="37" t="s">
        <v>1987</v>
      </c>
    </row>
    <row r="640" spans="1:17" ht="15">
      <c r="A640">
        <v>638</v>
      </c>
      <c r="B640" s="37" t="s">
        <v>1768</v>
      </c>
      <c r="C640" s="37" t="s">
        <v>1988</v>
      </c>
      <c r="D640" s="37" t="s">
        <v>1989</v>
      </c>
      <c r="E640" s="37">
        <v>3</v>
      </c>
      <c r="F640" s="37" t="s">
        <v>77</v>
      </c>
      <c r="G640" s="37" t="s">
        <v>77</v>
      </c>
      <c r="H640" s="37" t="s">
        <v>77</v>
      </c>
      <c r="I640" s="37" t="s">
        <v>77</v>
      </c>
      <c r="J640" s="37" t="s">
        <v>77</v>
      </c>
      <c r="K640" s="37" t="s">
        <v>77</v>
      </c>
      <c r="L640" s="37" t="s">
        <v>77</v>
      </c>
      <c r="M640" s="37" t="s">
        <v>77</v>
      </c>
      <c r="N640" s="37" t="s">
        <v>77</v>
      </c>
      <c r="O640" s="37" t="s">
        <v>77</v>
      </c>
      <c r="P640" s="37" t="s">
        <v>77</v>
      </c>
      <c r="Q640" s="37" t="s">
        <v>1990</v>
      </c>
    </row>
    <row r="641" spans="1:17" ht="15">
      <c r="A641">
        <v>639</v>
      </c>
      <c r="B641" s="37" t="s">
        <v>1768</v>
      </c>
      <c r="C641" s="37" t="s">
        <v>1991</v>
      </c>
      <c r="D641" s="37" t="s">
        <v>1992</v>
      </c>
      <c r="E641" s="37">
        <v>3</v>
      </c>
      <c r="F641" s="37" t="s">
        <v>77</v>
      </c>
      <c r="G641" s="37" t="s">
        <v>77</v>
      </c>
      <c r="H641" s="37" t="s">
        <v>77</v>
      </c>
      <c r="I641" s="37" t="s">
        <v>77</v>
      </c>
      <c r="J641" s="37" t="s">
        <v>77</v>
      </c>
      <c r="K641" s="37" t="s">
        <v>77</v>
      </c>
      <c r="L641" s="37" t="s">
        <v>77</v>
      </c>
      <c r="M641" s="37" t="s">
        <v>77</v>
      </c>
      <c r="N641" s="37" t="s">
        <v>77</v>
      </c>
      <c r="O641" s="37" t="s">
        <v>77</v>
      </c>
      <c r="P641" s="37" t="s">
        <v>77</v>
      </c>
      <c r="Q641" s="37" t="s">
        <v>1993</v>
      </c>
    </row>
    <row r="642" spans="1:17" ht="15">
      <c r="A642">
        <v>640</v>
      </c>
      <c r="B642" s="37" t="s">
        <v>1768</v>
      </c>
      <c r="C642" s="37" t="s">
        <v>1994</v>
      </c>
      <c r="D642" s="37" t="s">
        <v>1995</v>
      </c>
      <c r="E642" s="37">
        <v>3</v>
      </c>
      <c r="F642" s="37" t="s">
        <v>77</v>
      </c>
      <c r="G642" s="37" t="s">
        <v>77</v>
      </c>
      <c r="H642" s="37" t="s">
        <v>77</v>
      </c>
      <c r="I642" s="37" t="s">
        <v>77</v>
      </c>
      <c r="J642" s="37" t="s">
        <v>77</v>
      </c>
      <c r="K642" s="37" t="s">
        <v>77</v>
      </c>
      <c r="L642" s="37" t="s">
        <v>77</v>
      </c>
      <c r="M642" s="37" t="s">
        <v>77</v>
      </c>
      <c r="N642" s="37" t="s">
        <v>77</v>
      </c>
      <c r="O642" s="37" t="s">
        <v>77</v>
      </c>
      <c r="P642" s="37" t="s">
        <v>77</v>
      </c>
      <c r="Q642" s="37" t="s">
        <v>1996</v>
      </c>
    </row>
    <row r="643" spans="1:17" ht="15">
      <c r="A643">
        <v>641</v>
      </c>
      <c r="B643" s="37" t="s">
        <v>1768</v>
      </c>
      <c r="C643" s="37" t="s">
        <v>1997</v>
      </c>
      <c r="D643" s="37" t="s">
        <v>1998</v>
      </c>
      <c r="E643" s="37">
        <v>3</v>
      </c>
      <c r="F643" s="37" t="s">
        <v>77</v>
      </c>
      <c r="G643" s="37" t="s">
        <v>77</v>
      </c>
      <c r="H643" s="37" t="s">
        <v>77</v>
      </c>
      <c r="I643" s="37" t="s">
        <v>77</v>
      </c>
      <c r="J643" s="37" t="s">
        <v>77</v>
      </c>
      <c r="K643" s="37" t="s">
        <v>77</v>
      </c>
      <c r="L643" s="37" t="s">
        <v>77</v>
      </c>
      <c r="M643" s="37" t="s">
        <v>77</v>
      </c>
      <c r="N643" s="37" t="s">
        <v>77</v>
      </c>
      <c r="O643" s="37" t="s">
        <v>77</v>
      </c>
      <c r="P643" s="37" t="s">
        <v>77</v>
      </c>
      <c r="Q643" s="37" t="s">
        <v>1999</v>
      </c>
    </row>
    <row r="644" spans="1:17" ht="15">
      <c r="A644">
        <v>642</v>
      </c>
      <c r="B644" s="37" t="s">
        <v>1768</v>
      </c>
      <c r="C644" s="37" t="s">
        <v>2000</v>
      </c>
      <c r="D644" s="37" t="s">
        <v>2001</v>
      </c>
      <c r="E644" s="37">
        <v>3</v>
      </c>
      <c r="F644" s="37" t="s">
        <v>77</v>
      </c>
      <c r="G644" s="37" t="s">
        <v>77</v>
      </c>
      <c r="H644" s="37" t="s">
        <v>77</v>
      </c>
      <c r="I644" s="37" t="s">
        <v>77</v>
      </c>
      <c r="J644" s="37" t="s">
        <v>77</v>
      </c>
      <c r="K644" s="37" t="s">
        <v>77</v>
      </c>
      <c r="L644" s="37" t="s">
        <v>77</v>
      </c>
      <c r="M644" s="37" t="s">
        <v>77</v>
      </c>
      <c r="N644" s="37" t="s">
        <v>77</v>
      </c>
      <c r="O644" s="37" t="s">
        <v>77</v>
      </c>
      <c r="P644" s="37" t="s">
        <v>77</v>
      </c>
      <c r="Q644" s="37" t="s">
        <v>2002</v>
      </c>
    </row>
    <row r="645" spans="1:17" ht="15">
      <c r="A645">
        <v>643</v>
      </c>
      <c r="B645" s="37" t="s">
        <v>1768</v>
      </c>
      <c r="C645" s="37" t="s">
        <v>2003</v>
      </c>
      <c r="D645" s="37" t="s">
        <v>2004</v>
      </c>
      <c r="E645" s="37">
        <v>3</v>
      </c>
      <c r="F645" s="37" t="s">
        <v>77</v>
      </c>
      <c r="G645" s="37" t="s">
        <v>77</v>
      </c>
      <c r="H645" s="37" t="s">
        <v>77</v>
      </c>
      <c r="I645" s="37" t="s">
        <v>77</v>
      </c>
      <c r="J645" s="37" t="s">
        <v>77</v>
      </c>
      <c r="K645" s="37" t="s">
        <v>77</v>
      </c>
      <c r="L645" s="37" t="s">
        <v>77</v>
      </c>
      <c r="M645" s="37" t="s">
        <v>77</v>
      </c>
      <c r="N645" s="37" t="s">
        <v>77</v>
      </c>
      <c r="O645" s="37" t="s">
        <v>77</v>
      </c>
      <c r="P645" s="37" t="s">
        <v>77</v>
      </c>
      <c r="Q645" s="37" t="s">
        <v>2005</v>
      </c>
    </row>
    <row r="646" spans="1:17" ht="15">
      <c r="A646">
        <v>644</v>
      </c>
      <c r="B646" s="37" t="s">
        <v>1768</v>
      </c>
      <c r="C646" s="37" t="s">
        <v>2006</v>
      </c>
      <c r="D646" s="37" t="s">
        <v>2007</v>
      </c>
      <c r="E646" s="37">
        <v>3</v>
      </c>
      <c r="F646" s="37" t="s">
        <v>77</v>
      </c>
      <c r="G646" s="37" t="s">
        <v>77</v>
      </c>
      <c r="H646" s="37" t="s">
        <v>77</v>
      </c>
      <c r="I646" s="37" t="s">
        <v>77</v>
      </c>
      <c r="J646" s="37" t="s">
        <v>77</v>
      </c>
      <c r="K646" s="37" t="s">
        <v>77</v>
      </c>
      <c r="L646" s="37" t="s">
        <v>77</v>
      </c>
      <c r="M646" s="37" t="s">
        <v>77</v>
      </c>
      <c r="N646" s="37" t="s">
        <v>77</v>
      </c>
      <c r="O646" s="37" t="s">
        <v>77</v>
      </c>
      <c r="P646" s="37" t="s">
        <v>77</v>
      </c>
      <c r="Q646" s="37" t="s">
        <v>2008</v>
      </c>
    </row>
    <row r="647" spans="1:17" ht="15">
      <c r="A647">
        <v>645</v>
      </c>
      <c r="B647" s="37" t="s">
        <v>1768</v>
      </c>
      <c r="C647" s="37" t="s">
        <v>2009</v>
      </c>
      <c r="D647" s="37" t="s">
        <v>2010</v>
      </c>
      <c r="E647" s="37">
        <v>3</v>
      </c>
      <c r="F647" s="37" t="s">
        <v>77</v>
      </c>
      <c r="G647" s="37" t="s">
        <v>77</v>
      </c>
      <c r="H647" s="37" t="s">
        <v>77</v>
      </c>
      <c r="I647" s="37" t="s">
        <v>77</v>
      </c>
      <c r="J647" s="37" t="s">
        <v>77</v>
      </c>
      <c r="K647" s="37" t="s">
        <v>77</v>
      </c>
      <c r="L647" s="37" t="s">
        <v>77</v>
      </c>
      <c r="M647" s="37" t="s">
        <v>77</v>
      </c>
      <c r="N647" s="37" t="s">
        <v>77</v>
      </c>
      <c r="O647" s="37" t="s">
        <v>77</v>
      </c>
      <c r="P647" s="37" t="s">
        <v>77</v>
      </c>
      <c r="Q647" s="37" t="s">
        <v>2011</v>
      </c>
    </row>
    <row r="648" spans="1:17" ht="15">
      <c r="A648">
        <v>646</v>
      </c>
      <c r="B648" s="37" t="s">
        <v>1768</v>
      </c>
      <c r="C648" s="37" t="s">
        <v>2012</v>
      </c>
      <c r="D648" s="37" t="s">
        <v>2013</v>
      </c>
      <c r="E648" s="37">
        <v>3</v>
      </c>
      <c r="F648" s="37" t="s">
        <v>77</v>
      </c>
      <c r="G648" s="37" t="s">
        <v>77</v>
      </c>
      <c r="H648" s="37" t="s">
        <v>77</v>
      </c>
      <c r="I648" s="37" t="s">
        <v>77</v>
      </c>
      <c r="J648" s="37" t="s">
        <v>77</v>
      </c>
      <c r="K648" s="37" t="s">
        <v>77</v>
      </c>
      <c r="L648" s="37" t="s">
        <v>77</v>
      </c>
      <c r="M648" s="37" t="s">
        <v>77</v>
      </c>
      <c r="N648" s="37" t="s">
        <v>77</v>
      </c>
      <c r="O648" s="37" t="s">
        <v>77</v>
      </c>
      <c r="P648" s="37" t="s">
        <v>77</v>
      </c>
      <c r="Q648" s="37" t="s">
        <v>2014</v>
      </c>
    </row>
    <row r="649" spans="1:17" ht="15">
      <c r="A649">
        <v>647</v>
      </c>
      <c r="B649" s="37" t="s">
        <v>1768</v>
      </c>
      <c r="C649" s="37" t="s">
        <v>2015</v>
      </c>
      <c r="D649" s="37" t="s">
        <v>2016</v>
      </c>
      <c r="E649" s="37">
        <v>3</v>
      </c>
      <c r="F649" s="37" t="s">
        <v>77</v>
      </c>
      <c r="G649" s="37" t="s">
        <v>77</v>
      </c>
      <c r="H649" s="37" t="s">
        <v>77</v>
      </c>
      <c r="I649" s="37" t="s">
        <v>77</v>
      </c>
      <c r="J649" s="37" t="s">
        <v>77</v>
      </c>
      <c r="K649" s="37" t="s">
        <v>77</v>
      </c>
      <c r="L649" s="37" t="s">
        <v>77</v>
      </c>
      <c r="M649" s="37" t="s">
        <v>77</v>
      </c>
      <c r="N649" s="37" t="s">
        <v>77</v>
      </c>
      <c r="O649" s="37" t="s">
        <v>77</v>
      </c>
      <c r="P649" s="37" t="s">
        <v>77</v>
      </c>
      <c r="Q649" s="37" t="s">
        <v>2017</v>
      </c>
    </row>
    <row r="650" spans="1:17" ht="15">
      <c r="A650">
        <v>648</v>
      </c>
      <c r="B650" s="37" t="s">
        <v>1768</v>
      </c>
      <c r="C650" s="37" t="s">
        <v>2018</v>
      </c>
      <c r="D650" s="37" t="s">
        <v>2019</v>
      </c>
      <c r="E650" s="37">
        <v>3</v>
      </c>
      <c r="F650" s="37" t="s">
        <v>77</v>
      </c>
      <c r="G650" s="37" t="s">
        <v>77</v>
      </c>
      <c r="H650" s="37" t="s">
        <v>77</v>
      </c>
      <c r="I650" s="37" t="s">
        <v>77</v>
      </c>
      <c r="J650" s="37" t="s">
        <v>77</v>
      </c>
      <c r="K650" s="37" t="s">
        <v>77</v>
      </c>
      <c r="L650" s="37" t="s">
        <v>77</v>
      </c>
      <c r="M650" s="37" t="s">
        <v>77</v>
      </c>
      <c r="N650" s="37" t="s">
        <v>77</v>
      </c>
      <c r="O650" s="37" t="s">
        <v>77</v>
      </c>
      <c r="P650" s="37" t="s">
        <v>77</v>
      </c>
      <c r="Q650" s="37" t="s">
        <v>2020</v>
      </c>
    </row>
    <row r="651" spans="1:17" ht="15">
      <c r="A651">
        <v>649</v>
      </c>
      <c r="B651" s="37" t="s">
        <v>1768</v>
      </c>
      <c r="C651" s="37" t="s">
        <v>2021</v>
      </c>
      <c r="D651" s="37" t="s">
        <v>2022</v>
      </c>
      <c r="E651" s="37">
        <v>3</v>
      </c>
      <c r="F651" s="37" t="s">
        <v>77</v>
      </c>
      <c r="G651" s="37" t="s">
        <v>77</v>
      </c>
      <c r="H651" s="37" t="s">
        <v>77</v>
      </c>
      <c r="I651" s="37" t="s">
        <v>77</v>
      </c>
      <c r="J651" s="37" t="s">
        <v>77</v>
      </c>
      <c r="K651" s="37" t="s">
        <v>77</v>
      </c>
      <c r="L651" s="37" t="s">
        <v>77</v>
      </c>
      <c r="M651" s="37" t="s">
        <v>77</v>
      </c>
      <c r="N651" s="37" t="s">
        <v>77</v>
      </c>
      <c r="O651" s="37" t="s">
        <v>77</v>
      </c>
      <c r="P651" s="37" t="s">
        <v>77</v>
      </c>
      <c r="Q651" s="37" t="s">
        <v>2023</v>
      </c>
    </row>
    <row r="652" spans="1:17" ht="15">
      <c r="A652">
        <v>650</v>
      </c>
      <c r="B652" s="37" t="s">
        <v>1768</v>
      </c>
      <c r="C652" s="37" t="s">
        <v>2024</v>
      </c>
      <c r="D652" s="37" t="s">
        <v>2025</v>
      </c>
      <c r="E652" s="37">
        <v>3</v>
      </c>
      <c r="F652" s="37" t="s">
        <v>77</v>
      </c>
      <c r="G652" s="37" t="s">
        <v>77</v>
      </c>
      <c r="H652" s="37" t="s">
        <v>77</v>
      </c>
      <c r="I652" s="37" t="s">
        <v>77</v>
      </c>
      <c r="J652" s="37" t="s">
        <v>77</v>
      </c>
      <c r="K652" s="37" t="s">
        <v>77</v>
      </c>
      <c r="L652" s="37" t="s">
        <v>77</v>
      </c>
      <c r="M652" s="37" t="s">
        <v>77</v>
      </c>
      <c r="N652" s="37" t="s">
        <v>77</v>
      </c>
      <c r="O652" s="37" t="s">
        <v>77</v>
      </c>
      <c r="P652" s="37" t="s">
        <v>77</v>
      </c>
      <c r="Q652" s="37" t="s">
        <v>2026</v>
      </c>
    </row>
    <row r="653" spans="1:17" ht="15">
      <c r="A653">
        <v>651</v>
      </c>
      <c r="B653" s="37" t="s">
        <v>1768</v>
      </c>
      <c r="C653" s="37" t="s">
        <v>2027</v>
      </c>
      <c r="D653" s="37" t="s">
        <v>2028</v>
      </c>
      <c r="E653" s="37">
        <v>3</v>
      </c>
      <c r="F653" s="37" t="s">
        <v>77</v>
      </c>
      <c r="G653" s="37" t="s">
        <v>77</v>
      </c>
      <c r="H653" s="37" t="s">
        <v>77</v>
      </c>
      <c r="I653" s="37" t="s">
        <v>77</v>
      </c>
      <c r="J653" s="37" t="s">
        <v>77</v>
      </c>
      <c r="K653" s="37" t="s">
        <v>77</v>
      </c>
      <c r="L653" s="37" t="s">
        <v>77</v>
      </c>
      <c r="M653" s="37" t="s">
        <v>77</v>
      </c>
      <c r="N653" s="37" t="s">
        <v>77</v>
      </c>
      <c r="O653" s="37" t="s">
        <v>77</v>
      </c>
      <c r="P653" s="37" t="s">
        <v>77</v>
      </c>
      <c r="Q653" s="37" t="s">
        <v>2029</v>
      </c>
    </row>
    <row r="654" spans="1:17" ht="15">
      <c r="A654">
        <v>652</v>
      </c>
      <c r="B654" s="37" t="s">
        <v>1768</v>
      </c>
      <c r="C654" s="37" t="s">
        <v>2030</v>
      </c>
      <c r="D654" s="37" t="s">
        <v>2031</v>
      </c>
      <c r="E654" s="37">
        <v>3</v>
      </c>
      <c r="F654" s="37" t="s">
        <v>77</v>
      </c>
      <c r="G654" s="37" t="s">
        <v>77</v>
      </c>
      <c r="H654" s="37" t="s">
        <v>77</v>
      </c>
      <c r="I654" s="37" t="s">
        <v>77</v>
      </c>
      <c r="J654" s="37" t="s">
        <v>77</v>
      </c>
      <c r="K654" s="37" t="s">
        <v>77</v>
      </c>
      <c r="L654" s="37" t="s">
        <v>77</v>
      </c>
      <c r="M654" s="37" t="s">
        <v>77</v>
      </c>
      <c r="N654" s="37" t="s">
        <v>77</v>
      </c>
      <c r="O654" s="37" t="s">
        <v>77</v>
      </c>
      <c r="P654" s="37" t="s">
        <v>77</v>
      </c>
      <c r="Q654" s="37" t="s">
        <v>2032</v>
      </c>
    </row>
    <row r="655" spans="1:17" ht="15">
      <c r="A655">
        <v>653</v>
      </c>
      <c r="B655" s="37" t="s">
        <v>1768</v>
      </c>
      <c r="C655" s="37" t="s">
        <v>2033</v>
      </c>
      <c r="D655" s="37" t="s">
        <v>2034</v>
      </c>
      <c r="E655" s="37">
        <v>3</v>
      </c>
      <c r="F655" s="37" t="s">
        <v>77</v>
      </c>
      <c r="G655" s="37" t="s">
        <v>77</v>
      </c>
      <c r="H655" s="37" t="s">
        <v>77</v>
      </c>
      <c r="I655" s="37" t="s">
        <v>77</v>
      </c>
      <c r="J655" s="37" t="s">
        <v>77</v>
      </c>
      <c r="K655" s="37" t="s">
        <v>77</v>
      </c>
      <c r="L655" s="37" t="s">
        <v>77</v>
      </c>
      <c r="M655" s="37" t="s">
        <v>77</v>
      </c>
      <c r="N655" s="37" t="s">
        <v>77</v>
      </c>
      <c r="O655" s="37" t="s">
        <v>77</v>
      </c>
      <c r="P655" s="37" t="s">
        <v>77</v>
      </c>
      <c r="Q655" s="37" t="s">
        <v>2035</v>
      </c>
    </row>
    <row r="656" spans="1:17" ht="15">
      <c r="A656">
        <v>654</v>
      </c>
      <c r="B656" s="37" t="s">
        <v>1768</v>
      </c>
      <c r="C656" s="37" t="s">
        <v>2036</v>
      </c>
      <c r="D656" s="37" t="s">
        <v>2037</v>
      </c>
      <c r="E656" s="37">
        <v>3</v>
      </c>
      <c r="F656" s="37" t="s">
        <v>77</v>
      </c>
      <c r="G656" s="37" t="s">
        <v>77</v>
      </c>
      <c r="H656" s="37" t="s">
        <v>77</v>
      </c>
      <c r="I656" s="37" t="s">
        <v>77</v>
      </c>
      <c r="J656" s="37" t="s">
        <v>77</v>
      </c>
      <c r="K656" s="37" t="s">
        <v>77</v>
      </c>
      <c r="L656" s="37" t="s">
        <v>77</v>
      </c>
      <c r="M656" s="37" t="s">
        <v>77</v>
      </c>
      <c r="N656" s="37" t="s">
        <v>77</v>
      </c>
      <c r="O656" s="37" t="s">
        <v>77</v>
      </c>
      <c r="P656" s="37" t="s">
        <v>77</v>
      </c>
      <c r="Q656" s="37" t="s">
        <v>2038</v>
      </c>
    </row>
    <row r="657" spans="1:17" ht="15">
      <c r="A657">
        <v>655</v>
      </c>
      <c r="B657" s="37" t="s">
        <v>1768</v>
      </c>
      <c r="C657" s="37" t="s">
        <v>2039</v>
      </c>
      <c r="D657" s="37" t="s">
        <v>2040</v>
      </c>
      <c r="E657" s="37">
        <v>3</v>
      </c>
      <c r="F657" s="37" t="s">
        <v>77</v>
      </c>
      <c r="G657" s="37" t="s">
        <v>77</v>
      </c>
      <c r="H657" s="37" t="s">
        <v>77</v>
      </c>
      <c r="I657" s="37" t="s">
        <v>77</v>
      </c>
      <c r="J657" s="37" t="s">
        <v>77</v>
      </c>
      <c r="K657" s="37" t="s">
        <v>77</v>
      </c>
      <c r="L657" s="37" t="s">
        <v>77</v>
      </c>
      <c r="M657" s="37" t="s">
        <v>77</v>
      </c>
      <c r="N657" s="37" t="s">
        <v>77</v>
      </c>
      <c r="O657" s="37" t="s">
        <v>77</v>
      </c>
      <c r="P657" s="37" t="s">
        <v>77</v>
      </c>
      <c r="Q657" s="37" t="s">
        <v>2041</v>
      </c>
    </row>
    <row r="658" spans="1:17" ht="15">
      <c r="A658">
        <v>656</v>
      </c>
      <c r="B658" s="37" t="s">
        <v>1768</v>
      </c>
      <c r="C658" s="37" t="s">
        <v>2042</v>
      </c>
      <c r="D658" s="37" t="s">
        <v>2043</v>
      </c>
      <c r="E658" s="37">
        <v>3</v>
      </c>
      <c r="F658" s="37" t="s">
        <v>77</v>
      </c>
      <c r="G658" s="37" t="s">
        <v>77</v>
      </c>
      <c r="H658" s="37" t="s">
        <v>77</v>
      </c>
      <c r="I658" s="37" t="s">
        <v>77</v>
      </c>
      <c r="J658" s="37" t="s">
        <v>77</v>
      </c>
      <c r="K658" s="37" t="s">
        <v>77</v>
      </c>
      <c r="L658" s="37" t="s">
        <v>77</v>
      </c>
      <c r="M658" s="37" t="s">
        <v>77</v>
      </c>
      <c r="N658" s="37" t="s">
        <v>77</v>
      </c>
      <c r="O658" s="37" t="s">
        <v>77</v>
      </c>
      <c r="P658" s="37" t="s">
        <v>77</v>
      </c>
      <c r="Q658" s="37" t="s">
        <v>2044</v>
      </c>
    </row>
    <row r="659" spans="1:17" ht="15">
      <c r="A659">
        <v>657</v>
      </c>
      <c r="B659" s="37" t="s">
        <v>1768</v>
      </c>
      <c r="C659" s="37" t="s">
        <v>2045</v>
      </c>
      <c r="D659" s="37" t="s">
        <v>2046</v>
      </c>
      <c r="E659" s="37">
        <v>3</v>
      </c>
      <c r="F659" s="37" t="s">
        <v>77</v>
      </c>
      <c r="G659" s="37" t="s">
        <v>77</v>
      </c>
      <c r="H659" s="37" t="s">
        <v>77</v>
      </c>
      <c r="I659" s="37" t="s">
        <v>77</v>
      </c>
      <c r="J659" s="37" t="s">
        <v>77</v>
      </c>
      <c r="K659" s="37" t="s">
        <v>77</v>
      </c>
      <c r="L659" s="37" t="s">
        <v>77</v>
      </c>
      <c r="M659" s="37" t="s">
        <v>77</v>
      </c>
      <c r="N659" s="37" t="s">
        <v>77</v>
      </c>
      <c r="O659" s="37" t="s">
        <v>77</v>
      </c>
      <c r="P659" s="37" t="s">
        <v>77</v>
      </c>
      <c r="Q659" s="37" t="s">
        <v>2047</v>
      </c>
    </row>
    <row r="660" spans="1:17" ht="15">
      <c r="A660">
        <v>658</v>
      </c>
      <c r="B660" s="37" t="s">
        <v>1768</v>
      </c>
      <c r="C660" s="37" t="s">
        <v>2048</v>
      </c>
      <c r="D660" s="37" t="s">
        <v>2049</v>
      </c>
      <c r="E660" s="37">
        <v>3</v>
      </c>
      <c r="F660" s="37" t="s">
        <v>77</v>
      </c>
      <c r="G660" s="37" t="s">
        <v>77</v>
      </c>
      <c r="H660" s="37" t="s">
        <v>77</v>
      </c>
      <c r="I660" s="37" t="s">
        <v>77</v>
      </c>
      <c r="J660" s="37" t="s">
        <v>77</v>
      </c>
      <c r="K660" s="37" t="s">
        <v>77</v>
      </c>
      <c r="L660" s="37" t="s">
        <v>77</v>
      </c>
      <c r="M660" s="37" t="s">
        <v>77</v>
      </c>
      <c r="N660" s="37" t="s">
        <v>77</v>
      </c>
      <c r="O660" s="37" t="s">
        <v>77</v>
      </c>
      <c r="P660" s="37" t="s">
        <v>77</v>
      </c>
      <c r="Q660" s="37" t="s">
        <v>2050</v>
      </c>
    </row>
    <row r="661" spans="1:17" ht="15">
      <c r="A661">
        <v>659</v>
      </c>
      <c r="B661" s="37" t="s">
        <v>1768</v>
      </c>
      <c r="C661" s="37" t="s">
        <v>2051</v>
      </c>
      <c r="D661" s="37" t="s">
        <v>2052</v>
      </c>
      <c r="E661" s="37">
        <v>3</v>
      </c>
      <c r="F661" s="37" t="s">
        <v>77</v>
      </c>
      <c r="G661" s="37" t="s">
        <v>77</v>
      </c>
      <c r="H661" s="37" t="s">
        <v>77</v>
      </c>
      <c r="I661" s="37" t="s">
        <v>77</v>
      </c>
      <c r="J661" s="37" t="s">
        <v>77</v>
      </c>
      <c r="K661" s="37" t="s">
        <v>77</v>
      </c>
      <c r="L661" s="37" t="s">
        <v>77</v>
      </c>
      <c r="M661" s="37" t="s">
        <v>77</v>
      </c>
      <c r="N661" s="37" t="s">
        <v>77</v>
      </c>
      <c r="O661" s="37" t="s">
        <v>77</v>
      </c>
      <c r="P661" s="37" t="s">
        <v>77</v>
      </c>
      <c r="Q661" s="37" t="s">
        <v>2053</v>
      </c>
    </row>
    <row r="662" spans="1:17" ht="15">
      <c r="A662">
        <v>660</v>
      </c>
      <c r="B662" s="37" t="s">
        <v>1768</v>
      </c>
      <c r="C662" s="37" t="s">
        <v>2054</v>
      </c>
      <c r="D662" s="37" t="s">
        <v>2055</v>
      </c>
      <c r="E662" s="37">
        <v>3</v>
      </c>
      <c r="F662" s="37" t="s">
        <v>77</v>
      </c>
      <c r="G662" s="37" t="s">
        <v>77</v>
      </c>
      <c r="H662" s="37" t="s">
        <v>77</v>
      </c>
      <c r="I662" s="37" t="s">
        <v>77</v>
      </c>
      <c r="J662" s="37" t="s">
        <v>77</v>
      </c>
      <c r="K662" s="37" t="s">
        <v>77</v>
      </c>
      <c r="L662" s="37" t="s">
        <v>77</v>
      </c>
      <c r="M662" s="37" t="s">
        <v>77</v>
      </c>
      <c r="N662" s="37" t="s">
        <v>77</v>
      </c>
      <c r="O662" s="37" t="s">
        <v>77</v>
      </c>
      <c r="P662" s="37" t="s">
        <v>77</v>
      </c>
      <c r="Q662" s="37" t="s">
        <v>2056</v>
      </c>
    </row>
    <row r="663" spans="1:17" ht="15">
      <c r="A663">
        <v>661</v>
      </c>
      <c r="B663" s="37" t="s">
        <v>1768</v>
      </c>
      <c r="C663" s="37" t="s">
        <v>2057</v>
      </c>
      <c r="D663" s="37" t="s">
        <v>2058</v>
      </c>
      <c r="E663" s="37">
        <v>3</v>
      </c>
      <c r="F663" s="37" t="s">
        <v>77</v>
      </c>
      <c r="G663" s="37" t="s">
        <v>77</v>
      </c>
      <c r="H663" s="37" t="s">
        <v>77</v>
      </c>
      <c r="I663" s="37" t="s">
        <v>77</v>
      </c>
      <c r="J663" s="37" t="s">
        <v>77</v>
      </c>
      <c r="K663" s="37" t="s">
        <v>77</v>
      </c>
      <c r="L663" s="37" t="s">
        <v>77</v>
      </c>
      <c r="M663" s="37" t="s">
        <v>77</v>
      </c>
      <c r="N663" s="37" t="s">
        <v>77</v>
      </c>
      <c r="O663" s="37" t="s">
        <v>77</v>
      </c>
      <c r="P663" s="37" t="s">
        <v>77</v>
      </c>
      <c r="Q663" s="37" t="s">
        <v>2059</v>
      </c>
    </row>
    <row r="664" spans="1:17" ht="15">
      <c r="A664">
        <v>662</v>
      </c>
      <c r="B664" s="37" t="s">
        <v>1768</v>
      </c>
      <c r="C664" s="37" t="s">
        <v>2060</v>
      </c>
      <c r="D664" s="37" t="s">
        <v>2061</v>
      </c>
      <c r="E664" s="37">
        <v>3</v>
      </c>
      <c r="F664" s="37" t="s">
        <v>77</v>
      </c>
      <c r="G664" s="37" t="s">
        <v>77</v>
      </c>
      <c r="H664" s="37" t="s">
        <v>77</v>
      </c>
      <c r="I664" s="37" t="s">
        <v>77</v>
      </c>
      <c r="J664" s="37" t="s">
        <v>77</v>
      </c>
      <c r="K664" s="37" t="s">
        <v>77</v>
      </c>
      <c r="L664" s="37" t="s">
        <v>77</v>
      </c>
      <c r="M664" s="37" t="s">
        <v>77</v>
      </c>
      <c r="N664" s="37" t="s">
        <v>77</v>
      </c>
      <c r="O664" s="37" t="s">
        <v>77</v>
      </c>
      <c r="P664" s="37" t="s">
        <v>77</v>
      </c>
      <c r="Q664" s="37" t="s">
        <v>2062</v>
      </c>
    </row>
    <row r="665" spans="1:17" ht="15">
      <c r="A665">
        <v>663</v>
      </c>
      <c r="B665" s="37" t="s">
        <v>1768</v>
      </c>
      <c r="C665" s="37" t="s">
        <v>2063</v>
      </c>
      <c r="D665" s="37" t="s">
        <v>2064</v>
      </c>
      <c r="E665" s="37">
        <v>3</v>
      </c>
      <c r="F665" s="37" t="s">
        <v>77</v>
      </c>
      <c r="G665" s="37" t="s">
        <v>77</v>
      </c>
      <c r="H665" s="37" t="s">
        <v>77</v>
      </c>
      <c r="I665" s="37" t="s">
        <v>77</v>
      </c>
      <c r="J665" s="37" t="s">
        <v>77</v>
      </c>
      <c r="K665" s="37" t="s">
        <v>77</v>
      </c>
      <c r="L665" s="37" t="s">
        <v>77</v>
      </c>
      <c r="M665" s="37" t="s">
        <v>77</v>
      </c>
      <c r="N665" s="37" t="s">
        <v>77</v>
      </c>
      <c r="O665" s="37" t="s">
        <v>77</v>
      </c>
      <c r="P665" s="37" t="s">
        <v>77</v>
      </c>
      <c r="Q665" s="37" t="s">
        <v>2065</v>
      </c>
    </row>
    <row r="666" spans="1:17" ht="15">
      <c r="A666">
        <v>664</v>
      </c>
      <c r="B666" s="37" t="s">
        <v>1768</v>
      </c>
      <c r="C666" s="37" t="s">
        <v>2066</v>
      </c>
      <c r="D666" s="37" t="s">
        <v>2067</v>
      </c>
      <c r="E666" s="37">
        <v>3</v>
      </c>
      <c r="F666" s="37" t="s">
        <v>77</v>
      </c>
      <c r="G666" s="37" t="s">
        <v>77</v>
      </c>
      <c r="H666" s="37" t="s">
        <v>77</v>
      </c>
      <c r="I666" s="37" t="s">
        <v>77</v>
      </c>
      <c r="J666" s="37" t="s">
        <v>77</v>
      </c>
      <c r="K666" s="37" t="s">
        <v>77</v>
      </c>
      <c r="L666" s="37" t="s">
        <v>77</v>
      </c>
      <c r="M666" s="37" t="s">
        <v>77</v>
      </c>
      <c r="N666" s="37" t="s">
        <v>77</v>
      </c>
      <c r="O666" s="37" t="s">
        <v>77</v>
      </c>
      <c r="P666" s="37" t="s">
        <v>77</v>
      </c>
      <c r="Q666" s="37" t="s">
        <v>2068</v>
      </c>
    </row>
    <row r="667" spans="1:17" ht="15">
      <c r="A667">
        <v>665</v>
      </c>
      <c r="B667" s="37" t="s">
        <v>1768</v>
      </c>
      <c r="C667" s="37" t="s">
        <v>2069</v>
      </c>
      <c r="D667" s="37" t="s">
        <v>2070</v>
      </c>
      <c r="E667" s="37">
        <v>3</v>
      </c>
      <c r="F667" s="37" t="s">
        <v>77</v>
      </c>
      <c r="G667" s="37" t="s">
        <v>77</v>
      </c>
      <c r="H667" s="37" t="s">
        <v>77</v>
      </c>
      <c r="I667" s="37" t="s">
        <v>77</v>
      </c>
      <c r="J667" s="37" t="s">
        <v>77</v>
      </c>
      <c r="K667" s="37" t="s">
        <v>77</v>
      </c>
      <c r="L667" s="37" t="s">
        <v>77</v>
      </c>
      <c r="M667" s="37" t="s">
        <v>77</v>
      </c>
      <c r="N667" s="37" t="s">
        <v>77</v>
      </c>
      <c r="O667" s="37" t="s">
        <v>77</v>
      </c>
      <c r="P667" s="37" t="s">
        <v>77</v>
      </c>
      <c r="Q667" s="37" t="s">
        <v>2071</v>
      </c>
    </row>
    <row r="668" spans="1:17" ht="15">
      <c r="A668">
        <v>666</v>
      </c>
      <c r="B668" s="37" t="s">
        <v>1768</v>
      </c>
      <c r="C668" s="37" t="s">
        <v>2072</v>
      </c>
      <c r="D668" s="37" t="s">
        <v>2073</v>
      </c>
      <c r="E668" s="37">
        <v>3</v>
      </c>
      <c r="F668" s="37" t="s">
        <v>77</v>
      </c>
      <c r="G668" s="37" t="s">
        <v>77</v>
      </c>
      <c r="H668" s="37" t="s">
        <v>77</v>
      </c>
      <c r="I668" s="37" t="s">
        <v>77</v>
      </c>
      <c r="J668" s="37" t="s">
        <v>77</v>
      </c>
      <c r="K668" s="37" t="s">
        <v>77</v>
      </c>
      <c r="L668" s="37" t="s">
        <v>77</v>
      </c>
      <c r="M668" s="37" t="s">
        <v>77</v>
      </c>
      <c r="N668" s="37" t="s">
        <v>77</v>
      </c>
      <c r="O668" s="37" t="s">
        <v>77</v>
      </c>
      <c r="P668" s="37" t="s">
        <v>77</v>
      </c>
      <c r="Q668" s="37" t="s">
        <v>2074</v>
      </c>
    </row>
    <row r="669" spans="1:17" ht="15">
      <c r="A669">
        <v>667</v>
      </c>
      <c r="B669" s="37" t="s">
        <v>1768</v>
      </c>
      <c r="C669" s="37" t="s">
        <v>2075</v>
      </c>
      <c r="D669" s="37" t="s">
        <v>2076</v>
      </c>
      <c r="E669" s="37">
        <v>3</v>
      </c>
      <c r="F669" s="37" t="s">
        <v>77</v>
      </c>
      <c r="G669" s="37" t="s">
        <v>77</v>
      </c>
      <c r="H669" s="37" t="s">
        <v>77</v>
      </c>
      <c r="I669" s="37" t="s">
        <v>77</v>
      </c>
      <c r="J669" s="37" t="s">
        <v>77</v>
      </c>
      <c r="K669" s="37" t="s">
        <v>77</v>
      </c>
      <c r="L669" s="37" t="s">
        <v>77</v>
      </c>
      <c r="M669" s="37" t="s">
        <v>77</v>
      </c>
      <c r="N669" s="37" t="s">
        <v>77</v>
      </c>
      <c r="O669" s="37" t="s">
        <v>77</v>
      </c>
      <c r="P669" s="37" t="s">
        <v>77</v>
      </c>
      <c r="Q669" s="37" t="s">
        <v>2077</v>
      </c>
    </row>
    <row r="670" spans="1:17" ht="15">
      <c r="A670">
        <v>668</v>
      </c>
      <c r="B670" s="37" t="s">
        <v>1768</v>
      </c>
      <c r="C670" s="37" t="s">
        <v>2078</v>
      </c>
      <c r="D670" s="37" t="s">
        <v>2079</v>
      </c>
      <c r="E670" s="37">
        <v>3</v>
      </c>
      <c r="F670" s="37" t="s">
        <v>77</v>
      </c>
      <c r="G670" s="37" t="s">
        <v>77</v>
      </c>
      <c r="H670" s="37" t="s">
        <v>77</v>
      </c>
      <c r="I670" s="37" t="s">
        <v>77</v>
      </c>
      <c r="J670" s="37" t="s">
        <v>77</v>
      </c>
      <c r="K670" s="37" t="s">
        <v>77</v>
      </c>
      <c r="L670" s="37" t="s">
        <v>77</v>
      </c>
      <c r="M670" s="37" t="s">
        <v>77</v>
      </c>
      <c r="N670" s="37" t="s">
        <v>77</v>
      </c>
      <c r="O670" s="37" t="s">
        <v>77</v>
      </c>
      <c r="P670" s="37" t="s">
        <v>77</v>
      </c>
      <c r="Q670" s="37" t="s">
        <v>2080</v>
      </c>
    </row>
    <row r="671" spans="1:17" ht="15">
      <c r="A671">
        <v>669</v>
      </c>
      <c r="B671" s="37" t="s">
        <v>1768</v>
      </c>
      <c r="C671" s="37" t="s">
        <v>2081</v>
      </c>
      <c r="D671" s="37" t="s">
        <v>2082</v>
      </c>
      <c r="E671" s="37">
        <v>3</v>
      </c>
      <c r="F671" s="37" t="s">
        <v>77</v>
      </c>
      <c r="G671" s="37" t="s">
        <v>77</v>
      </c>
      <c r="H671" s="37" t="s">
        <v>78</v>
      </c>
      <c r="I671" s="37" t="s">
        <v>77</v>
      </c>
      <c r="J671" s="37" t="s">
        <v>77</v>
      </c>
      <c r="K671" s="37" t="s">
        <v>77</v>
      </c>
      <c r="L671" s="37" t="s">
        <v>77</v>
      </c>
      <c r="M671" s="37" t="s">
        <v>77</v>
      </c>
      <c r="N671" s="37" t="s">
        <v>77</v>
      </c>
      <c r="O671" s="37" t="s">
        <v>77</v>
      </c>
      <c r="P671" s="37" t="s">
        <v>78</v>
      </c>
      <c r="Q671" s="37" t="s">
        <v>2083</v>
      </c>
    </row>
    <row r="672" spans="1:17" ht="15">
      <c r="A672">
        <v>670</v>
      </c>
      <c r="B672" s="37" t="s">
        <v>1768</v>
      </c>
      <c r="C672" s="37" t="s">
        <v>2084</v>
      </c>
      <c r="D672" s="37" t="s">
        <v>2085</v>
      </c>
      <c r="E672" s="37">
        <v>3</v>
      </c>
      <c r="F672" s="37" t="s">
        <v>77</v>
      </c>
      <c r="G672" s="37" t="s">
        <v>77</v>
      </c>
      <c r="H672" s="37" t="s">
        <v>77</v>
      </c>
      <c r="I672" s="37" t="s">
        <v>77</v>
      </c>
      <c r="J672" s="37" t="s">
        <v>77</v>
      </c>
      <c r="K672" s="37" t="s">
        <v>77</v>
      </c>
      <c r="L672" s="37" t="s">
        <v>77</v>
      </c>
      <c r="M672" s="37" t="s">
        <v>77</v>
      </c>
      <c r="N672" s="37" t="s">
        <v>77</v>
      </c>
      <c r="O672" s="37" t="s">
        <v>77</v>
      </c>
      <c r="P672" s="37" t="s">
        <v>77</v>
      </c>
      <c r="Q672" s="37" t="s">
        <v>2086</v>
      </c>
    </row>
    <row r="673" spans="1:17" ht="15">
      <c r="A673">
        <v>671</v>
      </c>
      <c r="B673" s="37" t="s">
        <v>1768</v>
      </c>
      <c r="C673" s="37" t="s">
        <v>2087</v>
      </c>
      <c r="D673" s="37" t="s">
        <v>2088</v>
      </c>
      <c r="E673" s="37">
        <v>3</v>
      </c>
      <c r="F673" s="37" t="s">
        <v>77</v>
      </c>
      <c r="G673" s="37" t="s">
        <v>77</v>
      </c>
      <c r="H673" s="37" t="s">
        <v>77</v>
      </c>
      <c r="I673" s="37" t="s">
        <v>77</v>
      </c>
      <c r="J673" s="37" t="s">
        <v>77</v>
      </c>
      <c r="K673" s="37" t="s">
        <v>77</v>
      </c>
      <c r="L673" s="37" t="s">
        <v>77</v>
      </c>
      <c r="M673" s="37" t="s">
        <v>77</v>
      </c>
      <c r="N673" s="37" t="s">
        <v>77</v>
      </c>
      <c r="O673" s="37" t="s">
        <v>77</v>
      </c>
      <c r="P673" s="37" t="s">
        <v>77</v>
      </c>
      <c r="Q673" s="37" t="s">
        <v>2089</v>
      </c>
    </row>
    <row r="674" spans="1:17" ht="15">
      <c r="A674">
        <v>672</v>
      </c>
      <c r="B674" s="37" t="s">
        <v>1768</v>
      </c>
      <c r="C674" s="37" t="s">
        <v>2090</v>
      </c>
      <c r="D674" s="37" t="s">
        <v>2091</v>
      </c>
      <c r="E674" s="37">
        <v>3</v>
      </c>
      <c r="F674" s="37" t="s">
        <v>77</v>
      </c>
      <c r="G674" s="37" t="s">
        <v>77</v>
      </c>
      <c r="H674" s="37" t="s">
        <v>77</v>
      </c>
      <c r="I674" s="37" t="s">
        <v>77</v>
      </c>
      <c r="J674" s="37" t="s">
        <v>77</v>
      </c>
      <c r="K674" s="37" t="s">
        <v>77</v>
      </c>
      <c r="L674" s="37" t="s">
        <v>77</v>
      </c>
      <c r="M674" s="37" t="s">
        <v>77</v>
      </c>
      <c r="N674" s="37" t="s">
        <v>77</v>
      </c>
      <c r="O674" s="37" t="s">
        <v>77</v>
      </c>
      <c r="P674" s="37" t="s">
        <v>77</v>
      </c>
      <c r="Q674" s="37" t="s">
        <v>2092</v>
      </c>
    </row>
    <row r="675" spans="1:17" ht="15">
      <c r="A675">
        <v>673</v>
      </c>
      <c r="B675" s="37" t="s">
        <v>1768</v>
      </c>
      <c r="C675" s="37" t="s">
        <v>2093</v>
      </c>
      <c r="D675" s="37" t="s">
        <v>2094</v>
      </c>
      <c r="E675" s="37">
        <v>3</v>
      </c>
      <c r="F675" s="37" t="s">
        <v>77</v>
      </c>
      <c r="G675" s="37" t="s">
        <v>77</v>
      </c>
      <c r="H675" s="37" t="s">
        <v>77</v>
      </c>
      <c r="I675" s="37" t="s">
        <v>77</v>
      </c>
      <c r="J675" s="37" t="s">
        <v>77</v>
      </c>
      <c r="K675" s="37" t="s">
        <v>77</v>
      </c>
      <c r="L675" s="37" t="s">
        <v>77</v>
      </c>
      <c r="M675" s="37" t="s">
        <v>77</v>
      </c>
      <c r="N675" s="37" t="s">
        <v>77</v>
      </c>
      <c r="O675" s="37" t="s">
        <v>77</v>
      </c>
      <c r="P675" s="37" t="s">
        <v>77</v>
      </c>
      <c r="Q675" s="37" t="s">
        <v>2095</v>
      </c>
    </row>
    <row r="676" spans="1:17" ht="15">
      <c r="A676">
        <v>674</v>
      </c>
      <c r="B676" s="37" t="s">
        <v>1768</v>
      </c>
      <c r="C676" s="37" t="s">
        <v>2096</v>
      </c>
      <c r="D676" s="37" t="s">
        <v>2097</v>
      </c>
      <c r="E676" s="37">
        <v>3</v>
      </c>
      <c r="F676" s="37" t="s">
        <v>77</v>
      </c>
      <c r="G676" s="37" t="s">
        <v>77</v>
      </c>
      <c r="H676" s="37" t="s">
        <v>77</v>
      </c>
      <c r="I676" s="37" t="s">
        <v>77</v>
      </c>
      <c r="J676" s="37" t="s">
        <v>77</v>
      </c>
      <c r="K676" s="37" t="s">
        <v>77</v>
      </c>
      <c r="L676" s="37" t="s">
        <v>77</v>
      </c>
      <c r="M676" s="37" t="s">
        <v>77</v>
      </c>
      <c r="N676" s="37" t="s">
        <v>77</v>
      </c>
      <c r="O676" s="37" t="s">
        <v>77</v>
      </c>
      <c r="P676" s="37" t="s">
        <v>77</v>
      </c>
      <c r="Q676" s="37" t="s">
        <v>2098</v>
      </c>
    </row>
    <row r="677" spans="1:17" ht="15">
      <c r="A677">
        <v>675</v>
      </c>
      <c r="B677" s="37" t="s">
        <v>1768</v>
      </c>
      <c r="C677" s="37" t="s">
        <v>2099</v>
      </c>
      <c r="D677" s="37" t="s">
        <v>2100</v>
      </c>
      <c r="E677" s="37">
        <v>3</v>
      </c>
      <c r="F677" s="37" t="s">
        <v>77</v>
      </c>
      <c r="G677" s="37" t="s">
        <v>77</v>
      </c>
      <c r="H677" s="37" t="s">
        <v>77</v>
      </c>
      <c r="I677" s="37" t="s">
        <v>77</v>
      </c>
      <c r="J677" s="37" t="s">
        <v>77</v>
      </c>
      <c r="K677" s="37" t="s">
        <v>78</v>
      </c>
      <c r="L677" s="37" t="s">
        <v>77</v>
      </c>
      <c r="M677" s="37" t="s">
        <v>77</v>
      </c>
      <c r="N677" s="37" t="s">
        <v>77</v>
      </c>
      <c r="O677" s="37" t="s">
        <v>77</v>
      </c>
      <c r="P677" s="37" t="s">
        <v>78</v>
      </c>
      <c r="Q677" s="37" t="s">
        <v>2101</v>
      </c>
    </row>
    <row r="678" spans="1:17" ht="15">
      <c r="A678">
        <v>676</v>
      </c>
      <c r="B678" s="37" t="s">
        <v>1768</v>
      </c>
      <c r="C678" s="37" t="s">
        <v>2102</v>
      </c>
      <c r="D678" s="37" t="s">
        <v>2103</v>
      </c>
      <c r="E678" s="37">
        <v>3</v>
      </c>
      <c r="F678" s="37" t="s">
        <v>77</v>
      </c>
      <c r="G678" s="37" t="s">
        <v>77</v>
      </c>
      <c r="H678" s="37" t="s">
        <v>77</v>
      </c>
      <c r="I678" s="37" t="s">
        <v>77</v>
      </c>
      <c r="J678" s="37" t="s">
        <v>77</v>
      </c>
      <c r="K678" s="37" t="s">
        <v>77</v>
      </c>
      <c r="L678" s="37" t="s">
        <v>77</v>
      </c>
      <c r="M678" s="37" t="s">
        <v>77</v>
      </c>
      <c r="N678" s="37" t="s">
        <v>77</v>
      </c>
      <c r="O678" s="37" t="s">
        <v>77</v>
      </c>
      <c r="P678" s="37" t="s">
        <v>77</v>
      </c>
      <c r="Q678" s="37" t="s">
        <v>2104</v>
      </c>
    </row>
    <row r="679" spans="1:17" ht="15">
      <c r="A679">
        <v>677</v>
      </c>
      <c r="B679" s="37" t="s">
        <v>1768</v>
      </c>
      <c r="C679" s="37" t="s">
        <v>2105</v>
      </c>
      <c r="D679" s="37" t="s">
        <v>2106</v>
      </c>
      <c r="E679" s="37">
        <v>3</v>
      </c>
      <c r="F679" s="37" t="s">
        <v>77</v>
      </c>
      <c r="G679" s="37" t="s">
        <v>77</v>
      </c>
      <c r="H679" s="37" t="s">
        <v>77</v>
      </c>
      <c r="I679" s="37" t="s">
        <v>77</v>
      </c>
      <c r="J679" s="37" t="s">
        <v>77</v>
      </c>
      <c r="K679" s="37" t="s">
        <v>77</v>
      </c>
      <c r="L679" s="37" t="s">
        <v>77</v>
      </c>
      <c r="M679" s="37" t="s">
        <v>77</v>
      </c>
      <c r="N679" s="37" t="s">
        <v>77</v>
      </c>
      <c r="O679" s="37" t="s">
        <v>77</v>
      </c>
      <c r="P679" s="37" t="s">
        <v>77</v>
      </c>
      <c r="Q679" s="37" t="s">
        <v>2107</v>
      </c>
    </row>
    <row r="680" spans="1:17" ht="15">
      <c r="A680">
        <v>678</v>
      </c>
      <c r="B680" s="37" t="s">
        <v>1768</v>
      </c>
      <c r="C680" s="37" t="s">
        <v>2108</v>
      </c>
      <c r="D680" s="37" t="s">
        <v>2109</v>
      </c>
      <c r="E680" s="37">
        <v>3</v>
      </c>
      <c r="F680" s="37" t="s">
        <v>77</v>
      </c>
      <c r="G680" s="37" t="s">
        <v>77</v>
      </c>
      <c r="H680" s="37" t="s">
        <v>77</v>
      </c>
      <c r="I680" s="37" t="s">
        <v>77</v>
      </c>
      <c r="J680" s="37" t="s">
        <v>77</v>
      </c>
      <c r="K680" s="37" t="s">
        <v>77</v>
      </c>
      <c r="L680" s="37" t="s">
        <v>77</v>
      </c>
      <c r="M680" s="37" t="s">
        <v>77</v>
      </c>
      <c r="N680" s="37" t="s">
        <v>77</v>
      </c>
      <c r="O680" s="37" t="s">
        <v>77</v>
      </c>
      <c r="P680" s="37" t="s">
        <v>77</v>
      </c>
      <c r="Q680" s="37" t="s">
        <v>2110</v>
      </c>
    </row>
    <row r="681" spans="1:17" ht="15">
      <c r="A681">
        <v>679</v>
      </c>
      <c r="B681" s="37" t="s">
        <v>1768</v>
      </c>
      <c r="C681" s="37" t="s">
        <v>2111</v>
      </c>
      <c r="D681" s="37" t="s">
        <v>2112</v>
      </c>
      <c r="E681" s="37">
        <v>3</v>
      </c>
      <c r="F681" s="37" t="s">
        <v>77</v>
      </c>
      <c r="G681" s="37" t="s">
        <v>77</v>
      </c>
      <c r="H681" s="37" t="s">
        <v>77</v>
      </c>
      <c r="I681" s="37" t="s">
        <v>77</v>
      </c>
      <c r="J681" s="37" t="s">
        <v>77</v>
      </c>
      <c r="K681" s="37" t="s">
        <v>77</v>
      </c>
      <c r="L681" s="37" t="s">
        <v>77</v>
      </c>
      <c r="M681" s="37" t="s">
        <v>77</v>
      </c>
      <c r="N681" s="37" t="s">
        <v>77</v>
      </c>
      <c r="O681" s="37" t="s">
        <v>77</v>
      </c>
      <c r="P681" s="37" t="s">
        <v>77</v>
      </c>
      <c r="Q681" s="37" t="s">
        <v>2113</v>
      </c>
    </row>
    <row r="682" spans="1:17" ht="15">
      <c r="A682">
        <v>680</v>
      </c>
      <c r="B682" s="37" t="s">
        <v>1768</v>
      </c>
      <c r="C682" s="37" t="s">
        <v>2114</v>
      </c>
      <c r="D682" s="37" t="s">
        <v>2115</v>
      </c>
      <c r="E682" s="37">
        <v>3</v>
      </c>
      <c r="F682" s="37" t="s">
        <v>77</v>
      </c>
      <c r="G682" s="37" t="s">
        <v>77</v>
      </c>
      <c r="H682" s="37" t="s">
        <v>77</v>
      </c>
      <c r="I682" s="37" t="s">
        <v>77</v>
      </c>
      <c r="J682" s="37" t="s">
        <v>77</v>
      </c>
      <c r="K682" s="37" t="s">
        <v>77</v>
      </c>
      <c r="L682" s="37" t="s">
        <v>77</v>
      </c>
      <c r="M682" s="37" t="s">
        <v>77</v>
      </c>
      <c r="N682" s="37" t="s">
        <v>77</v>
      </c>
      <c r="O682" s="37" t="s">
        <v>77</v>
      </c>
      <c r="P682" s="37" t="s">
        <v>77</v>
      </c>
      <c r="Q682" s="37" t="s">
        <v>2116</v>
      </c>
    </row>
    <row r="683" spans="1:17" ht="15">
      <c r="A683">
        <v>681</v>
      </c>
      <c r="B683" s="37" t="s">
        <v>1768</v>
      </c>
      <c r="C683" s="37" t="s">
        <v>2117</v>
      </c>
      <c r="D683" s="37" t="s">
        <v>2118</v>
      </c>
      <c r="E683" s="37">
        <v>3</v>
      </c>
      <c r="F683" s="37" t="s">
        <v>77</v>
      </c>
      <c r="G683" s="37" t="s">
        <v>77</v>
      </c>
      <c r="H683" s="37" t="s">
        <v>77</v>
      </c>
      <c r="I683" s="37" t="s">
        <v>77</v>
      </c>
      <c r="J683" s="37" t="s">
        <v>77</v>
      </c>
      <c r="K683" s="37" t="s">
        <v>77</v>
      </c>
      <c r="L683" s="37" t="s">
        <v>77</v>
      </c>
      <c r="M683" s="37" t="s">
        <v>77</v>
      </c>
      <c r="N683" s="37" t="s">
        <v>77</v>
      </c>
      <c r="O683" s="37" t="s">
        <v>77</v>
      </c>
      <c r="P683" s="37" t="s">
        <v>77</v>
      </c>
      <c r="Q683" s="37" t="s">
        <v>2119</v>
      </c>
    </row>
    <row r="684" spans="1:17" ht="15">
      <c r="A684">
        <v>682</v>
      </c>
      <c r="B684" s="37" t="s">
        <v>1768</v>
      </c>
      <c r="C684" s="37" t="s">
        <v>2120</v>
      </c>
      <c r="D684" s="37" t="s">
        <v>2121</v>
      </c>
      <c r="E684" s="37">
        <v>3</v>
      </c>
      <c r="F684" s="37" t="s">
        <v>77</v>
      </c>
      <c r="G684" s="37" t="s">
        <v>77</v>
      </c>
      <c r="H684" s="37" t="s">
        <v>77</v>
      </c>
      <c r="I684" s="37" t="s">
        <v>77</v>
      </c>
      <c r="J684" s="37" t="s">
        <v>77</v>
      </c>
      <c r="K684" s="37" t="s">
        <v>77</v>
      </c>
      <c r="L684" s="37" t="s">
        <v>77</v>
      </c>
      <c r="M684" s="37" t="s">
        <v>77</v>
      </c>
      <c r="N684" s="37" t="s">
        <v>77</v>
      </c>
      <c r="O684" s="37" t="s">
        <v>77</v>
      </c>
      <c r="P684" s="37" t="s">
        <v>77</v>
      </c>
      <c r="Q684" s="37" t="s">
        <v>2122</v>
      </c>
    </row>
    <row r="685" spans="1:17" ht="15">
      <c r="A685">
        <v>683</v>
      </c>
      <c r="B685" s="37" t="s">
        <v>1768</v>
      </c>
      <c r="C685" s="37" t="s">
        <v>2123</v>
      </c>
      <c r="D685" s="37" t="s">
        <v>2124</v>
      </c>
      <c r="E685" s="37">
        <v>3</v>
      </c>
      <c r="F685" s="37" t="s">
        <v>77</v>
      </c>
      <c r="G685" s="37" t="s">
        <v>77</v>
      </c>
      <c r="H685" s="37" t="s">
        <v>77</v>
      </c>
      <c r="I685" s="37" t="s">
        <v>77</v>
      </c>
      <c r="J685" s="37" t="s">
        <v>77</v>
      </c>
      <c r="K685" s="37" t="s">
        <v>77</v>
      </c>
      <c r="L685" s="37" t="s">
        <v>77</v>
      </c>
      <c r="M685" s="37" t="s">
        <v>77</v>
      </c>
      <c r="N685" s="37" t="s">
        <v>77</v>
      </c>
      <c r="O685" s="37" t="s">
        <v>77</v>
      </c>
      <c r="P685" s="37" t="s">
        <v>77</v>
      </c>
      <c r="Q685" s="37" t="s">
        <v>2125</v>
      </c>
    </row>
    <row r="686" spans="1:17" ht="15">
      <c r="A686">
        <v>684</v>
      </c>
      <c r="B686" s="37" t="s">
        <v>2126</v>
      </c>
      <c r="C686" s="37" t="s">
        <v>2127</v>
      </c>
      <c r="D686" s="37" t="s">
        <v>2128</v>
      </c>
      <c r="E686" s="37">
        <v>3</v>
      </c>
      <c r="F686" s="37" t="s">
        <v>1613</v>
      </c>
      <c r="G686" s="37" t="s">
        <v>1613</v>
      </c>
      <c r="H686" s="37" t="s">
        <v>1613</v>
      </c>
      <c r="I686" s="37" t="s">
        <v>1613</v>
      </c>
      <c r="J686" s="37" t="s">
        <v>1613</v>
      </c>
      <c r="K686" s="37" t="s">
        <v>1613</v>
      </c>
      <c r="L686" s="37" t="s">
        <v>1613</v>
      </c>
      <c r="M686" s="37" t="s">
        <v>1613</v>
      </c>
      <c r="N686" s="37" t="s">
        <v>1613</v>
      </c>
      <c r="O686" s="37" t="s">
        <v>1613</v>
      </c>
      <c r="P686" s="37" t="s">
        <v>1613</v>
      </c>
      <c r="Q686" s="37" t="s">
        <v>2129</v>
      </c>
    </row>
    <row r="687" spans="1:17" ht="15">
      <c r="A687">
        <v>685</v>
      </c>
      <c r="B687" s="37" t="s">
        <v>2126</v>
      </c>
      <c r="C687" s="37" t="s">
        <v>2130</v>
      </c>
      <c r="D687" s="37" t="s">
        <v>2131</v>
      </c>
      <c r="E687" s="37">
        <v>3</v>
      </c>
      <c r="F687" s="37" t="s">
        <v>1613</v>
      </c>
      <c r="G687" s="37" t="s">
        <v>1613</v>
      </c>
      <c r="H687" s="37" t="s">
        <v>1613</v>
      </c>
      <c r="I687" s="37" t="s">
        <v>1613</v>
      </c>
      <c r="J687" s="37" t="s">
        <v>1613</v>
      </c>
      <c r="K687" s="37" t="s">
        <v>1613</v>
      </c>
      <c r="L687" s="37" t="s">
        <v>1613</v>
      </c>
      <c r="M687" s="37" t="s">
        <v>1613</v>
      </c>
      <c r="N687" s="37" t="s">
        <v>1613</v>
      </c>
      <c r="O687" s="37" t="s">
        <v>1613</v>
      </c>
      <c r="P687" s="37" t="s">
        <v>1613</v>
      </c>
      <c r="Q687" s="37" t="s">
        <v>2132</v>
      </c>
    </row>
    <row r="688" spans="1:17" ht="15">
      <c r="A688">
        <v>686</v>
      </c>
      <c r="B688" s="37" t="s">
        <v>2126</v>
      </c>
      <c r="C688" s="37" t="s">
        <v>2133</v>
      </c>
      <c r="D688" s="37" t="s">
        <v>2134</v>
      </c>
      <c r="E688" s="37">
        <v>3</v>
      </c>
      <c r="F688" s="37" t="s">
        <v>1613</v>
      </c>
      <c r="G688" s="37" t="s">
        <v>1613</v>
      </c>
      <c r="H688" s="37" t="s">
        <v>1613</v>
      </c>
      <c r="I688" s="37" t="s">
        <v>1613</v>
      </c>
      <c r="J688" s="37" t="s">
        <v>1613</v>
      </c>
      <c r="K688" s="37" t="s">
        <v>1613</v>
      </c>
      <c r="L688" s="37" t="s">
        <v>1613</v>
      </c>
      <c r="M688" s="37" t="s">
        <v>1613</v>
      </c>
      <c r="N688" s="37" t="s">
        <v>1613</v>
      </c>
      <c r="O688" s="37" t="s">
        <v>1613</v>
      </c>
      <c r="P688" s="37" t="s">
        <v>1613</v>
      </c>
      <c r="Q688" s="37" t="s">
        <v>2135</v>
      </c>
    </row>
    <row r="689" spans="1:17" ht="15">
      <c r="A689">
        <v>687</v>
      </c>
      <c r="B689" s="37" t="s">
        <v>2126</v>
      </c>
      <c r="C689" s="37" t="s">
        <v>2136</v>
      </c>
      <c r="D689" s="37" t="s">
        <v>2137</v>
      </c>
      <c r="E689" s="37">
        <v>3</v>
      </c>
      <c r="F689" s="37" t="s">
        <v>1613</v>
      </c>
      <c r="G689" s="37" t="s">
        <v>1613</v>
      </c>
      <c r="H689" s="37" t="s">
        <v>1613</v>
      </c>
      <c r="I689" s="37" t="s">
        <v>1613</v>
      </c>
      <c r="J689" s="37" t="s">
        <v>1613</v>
      </c>
      <c r="K689" s="37" t="s">
        <v>1613</v>
      </c>
      <c r="L689" s="37" t="s">
        <v>1613</v>
      </c>
      <c r="M689" s="37" t="s">
        <v>1613</v>
      </c>
      <c r="N689" s="37" t="s">
        <v>1613</v>
      </c>
      <c r="O689" s="37" t="s">
        <v>1613</v>
      </c>
      <c r="P689" s="37" t="s">
        <v>1613</v>
      </c>
      <c r="Q689" s="37" t="s">
        <v>2138</v>
      </c>
    </row>
    <row r="690" spans="1:17" ht="15">
      <c r="A690">
        <v>688</v>
      </c>
      <c r="B690" s="37" t="s">
        <v>2126</v>
      </c>
      <c r="C690" s="37" t="s">
        <v>2139</v>
      </c>
      <c r="D690" s="37" t="s">
        <v>2140</v>
      </c>
      <c r="E690" s="37">
        <v>3</v>
      </c>
      <c r="F690" s="37" t="s">
        <v>1613</v>
      </c>
      <c r="G690" s="37" t="s">
        <v>1613</v>
      </c>
      <c r="H690" s="37" t="s">
        <v>1613</v>
      </c>
      <c r="I690" s="37" t="s">
        <v>1613</v>
      </c>
      <c r="J690" s="37" t="s">
        <v>1613</v>
      </c>
      <c r="K690" s="37" t="s">
        <v>1613</v>
      </c>
      <c r="L690" s="37" t="s">
        <v>1613</v>
      </c>
      <c r="M690" s="37" t="s">
        <v>1613</v>
      </c>
      <c r="N690" s="37" t="s">
        <v>1613</v>
      </c>
      <c r="O690" s="37" t="s">
        <v>1613</v>
      </c>
      <c r="P690" s="37" t="s">
        <v>1613</v>
      </c>
      <c r="Q690" s="37" t="s">
        <v>2141</v>
      </c>
    </row>
    <row r="691" spans="1:17" ht="15">
      <c r="A691">
        <v>689</v>
      </c>
      <c r="B691" s="37" t="s">
        <v>2126</v>
      </c>
      <c r="C691" s="37" t="s">
        <v>2142</v>
      </c>
      <c r="D691" s="37" t="s">
        <v>2143</v>
      </c>
      <c r="E691" s="37">
        <v>3</v>
      </c>
      <c r="F691" s="37" t="s">
        <v>1613</v>
      </c>
      <c r="G691" s="37" t="s">
        <v>1613</v>
      </c>
      <c r="H691" s="37" t="s">
        <v>1613</v>
      </c>
      <c r="I691" s="37" t="s">
        <v>1613</v>
      </c>
      <c r="J691" s="37" t="s">
        <v>1613</v>
      </c>
      <c r="K691" s="37" t="s">
        <v>1613</v>
      </c>
      <c r="L691" s="37" t="s">
        <v>1613</v>
      </c>
      <c r="M691" s="37" t="s">
        <v>1613</v>
      </c>
      <c r="N691" s="37" t="s">
        <v>1613</v>
      </c>
      <c r="O691" s="37" t="s">
        <v>1613</v>
      </c>
      <c r="P691" s="37" t="s">
        <v>1613</v>
      </c>
      <c r="Q691" s="37" t="s">
        <v>2144</v>
      </c>
    </row>
    <row r="692" spans="1:17" ht="15">
      <c r="A692">
        <v>690</v>
      </c>
      <c r="B692" s="37" t="s">
        <v>2126</v>
      </c>
      <c r="C692" s="37" t="s">
        <v>2145</v>
      </c>
      <c r="D692" s="37" t="s">
        <v>2146</v>
      </c>
      <c r="E692" s="37">
        <v>3</v>
      </c>
      <c r="F692" s="37" t="s">
        <v>1613</v>
      </c>
      <c r="G692" s="37" t="s">
        <v>1613</v>
      </c>
      <c r="H692" s="37" t="s">
        <v>1613</v>
      </c>
      <c r="I692" s="37" t="s">
        <v>1613</v>
      </c>
      <c r="J692" s="37" t="s">
        <v>1613</v>
      </c>
      <c r="K692" s="37" t="s">
        <v>1613</v>
      </c>
      <c r="L692" s="37" t="s">
        <v>1613</v>
      </c>
      <c r="M692" s="37" t="s">
        <v>1613</v>
      </c>
      <c r="N692" s="37" t="s">
        <v>1613</v>
      </c>
      <c r="O692" s="37" t="s">
        <v>1613</v>
      </c>
      <c r="P692" s="37" t="s">
        <v>1613</v>
      </c>
      <c r="Q692" s="37" t="s">
        <v>680</v>
      </c>
    </row>
    <row r="693" spans="1:17" ht="15">
      <c r="A693">
        <v>691</v>
      </c>
      <c r="B693" s="37" t="s">
        <v>2126</v>
      </c>
      <c r="C693" s="37" t="s">
        <v>2147</v>
      </c>
      <c r="D693" s="37" t="s">
        <v>2148</v>
      </c>
      <c r="E693" s="37">
        <v>3</v>
      </c>
      <c r="F693" s="37" t="s">
        <v>1613</v>
      </c>
      <c r="G693" s="37" t="s">
        <v>1613</v>
      </c>
      <c r="H693" s="37" t="s">
        <v>1613</v>
      </c>
      <c r="I693" s="37" t="s">
        <v>1613</v>
      </c>
      <c r="J693" s="37" t="s">
        <v>1613</v>
      </c>
      <c r="K693" s="37" t="s">
        <v>1613</v>
      </c>
      <c r="L693" s="37" t="s">
        <v>1613</v>
      </c>
      <c r="M693" s="37" t="s">
        <v>1613</v>
      </c>
      <c r="N693" s="37" t="s">
        <v>1613</v>
      </c>
      <c r="O693" s="37" t="s">
        <v>1613</v>
      </c>
      <c r="P693" s="37" t="s">
        <v>1613</v>
      </c>
      <c r="Q693" s="37" t="s">
        <v>2149</v>
      </c>
    </row>
    <row r="694" spans="1:17" ht="15">
      <c r="A694">
        <v>692</v>
      </c>
      <c r="B694" s="37" t="s">
        <v>2126</v>
      </c>
      <c r="C694" s="37" t="s">
        <v>2150</v>
      </c>
      <c r="D694" s="37" t="s">
        <v>2151</v>
      </c>
      <c r="E694" s="37">
        <v>3</v>
      </c>
      <c r="F694" s="37" t="s">
        <v>1613</v>
      </c>
      <c r="G694" s="37" t="s">
        <v>1613</v>
      </c>
      <c r="H694" s="37" t="s">
        <v>1613</v>
      </c>
      <c r="I694" s="37" t="s">
        <v>1613</v>
      </c>
      <c r="J694" s="37" t="s">
        <v>1613</v>
      </c>
      <c r="K694" s="37" t="s">
        <v>1613</v>
      </c>
      <c r="L694" s="37" t="s">
        <v>1613</v>
      </c>
      <c r="M694" s="37" t="s">
        <v>1613</v>
      </c>
      <c r="N694" s="37" t="s">
        <v>1613</v>
      </c>
      <c r="O694" s="37" t="s">
        <v>1613</v>
      </c>
      <c r="P694" s="37" t="s">
        <v>1613</v>
      </c>
      <c r="Q694" s="37" t="s">
        <v>2152</v>
      </c>
    </row>
    <row r="695" spans="1:17" ht="15">
      <c r="A695">
        <v>693</v>
      </c>
      <c r="B695" s="37" t="s">
        <v>2126</v>
      </c>
      <c r="C695" s="37" t="s">
        <v>2153</v>
      </c>
      <c r="D695" s="37" t="s">
        <v>2154</v>
      </c>
      <c r="E695" s="37">
        <v>3</v>
      </c>
      <c r="F695" s="37" t="s">
        <v>1613</v>
      </c>
      <c r="G695" s="37" t="s">
        <v>1613</v>
      </c>
      <c r="H695" s="37" t="s">
        <v>1613</v>
      </c>
      <c r="I695" s="37" t="s">
        <v>1613</v>
      </c>
      <c r="J695" s="37" t="s">
        <v>1613</v>
      </c>
      <c r="K695" s="37" t="s">
        <v>1613</v>
      </c>
      <c r="L695" s="37" t="s">
        <v>1613</v>
      </c>
      <c r="M695" s="37" t="s">
        <v>1613</v>
      </c>
      <c r="N695" s="37" t="s">
        <v>1613</v>
      </c>
      <c r="O695" s="37" t="s">
        <v>1613</v>
      </c>
      <c r="P695" s="37" t="s">
        <v>1613</v>
      </c>
      <c r="Q695" s="37" t="s">
        <v>2155</v>
      </c>
    </row>
    <row r="696" spans="1:17" ht="15">
      <c r="A696">
        <v>694</v>
      </c>
      <c r="B696" s="37" t="s">
        <v>2126</v>
      </c>
      <c r="C696" s="37" t="s">
        <v>2156</v>
      </c>
      <c r="D696" s="37" t="s">
        <v>2157</v>
      </c>
      <c r="E696" s="37">
        <v>3</v>
      </c>
      <c r="F696" s="37" t="s">
        <v>1613</v>
      </c>
      <c r="G696" s="37" t="s">
        <v>1613</v>
      </c>
      <c r="H696" s="37" t="s">
        <v>1613</v>
      </c>
      <c r="I696" s="37" t="s">
        <v>1613</v>
      </c>
      <c r="J696" s="37" t="s">
        <v>1613</v>
      </c>
      <c r="K696" s="37" t="s">
        <v>1613</v>
      </c>
      <c r="L696" s="37" t="s">
        <v>1613</v>
      </c>
      <c r="M696" s="37" t="s">
        <v>1613</v>
      </c>
      <c r="N696" s="37" t="s">
        <v>1613</v>
      </c>
      <c r="O696" s="37" t="s">
        <v>1613</v>
      </c>
      <c r="P696" s="37" t="s">
        <v>1613</v>
      </c>
      <c r="Q696" s="37" t="s">
        <v>2158</v>
      </c>
    </row>
    <row r="697" spans="1:17" ht="15">
      <c r="A697">
        <v>695</v>
      </c>
      <c r="B697" s="37" t="s">
        <v>2126</v>
      </c>
      <c r="C697" s="37" t="s">
        <v>2159</v>
      </c>
      <c r="D697" s="37" t="s">
        <v>2160</v>
      </c>
      <c r="E697" s="37">
        <v>3</v>
      </c>
      <c r="F697" s="37" t="s">
        <v>1613</v>
      </c>
      <c r="G697" s="37" t="s">
        <v>1613</v>
      </c>
      <c r="H697" s="37" t="s">
        <v>1613</v>
      </c>
      <c r="I697" s="37" t="s">
        <v>1613</v>
      </c>
      <c r="J697" s="37" t="s">
        <v>1613</v>
      </c>
      <c r="K697" s="37" t="s">
        <v>1613</v>
      </c>
      <c r="L697" s="37" t="s">
        <v>1613</v>
      </c>
      <c r="M697" s="37" t="s">
        <v>1613</v>
      </c>
      <c r="N697" s="37" t="s">
        <v>1613</v>
      </c>
      <c r="O697" s="37" t="s">
        <v>1613</v>
      </c>
      <c r="P697" s="37" t="s">
        <v>1613</v>
      </c>
      <c r="Q697" s="37" t="s">
        <v>2161</v>
      </c>
    </row>
    <row r="698" spans="1:17" ht="15">
      <c r="A698">
        <v>696</v>
      </c>
      <c r="B698" s="37" t="s">
        <v>2126</v>
      </c>
      <c r="C698" s="37" t="s">
        <v>2162</v>
      </c>
      <c r="D698" s="37" t="s">
        <v>2163</v>
      </c>
      <c r="E698" s="37">
        <v>3</v>
      </c>
      <c r="F698" s="37" t="s">
        <v>1613</v>
      </c>
      <c r="G698" s="37" t="s">
        <v>1613</v>
      </c>
      <c r="H698" s="37" t="s">
        <v>1613</v>
      </c>
      <c r="I698" s="37" t="s">
        <v>1613</v>
      </c>
      <c r="J698" s="37" t="s">
        <v>1613</v>
      </c>
      <c r="K698" s="37" t="s">
        <v>1613</v>
      </c>
      <c r="L698" s="37" t="s">
        <v>1613</v>
      </c>
      <c r="M698" s="37" t="s">
        <v>1613</v>
      </c>
      <c r="N698" s="37" t="s">
        <v>1613</v>
      </c>
      <c r="O698" s="37" t="s">
        <v>1613</v>
      </c>
      <c r="P698" s="37" t="s">
        <v>1613</v>
      </c>
      <c r="Q698" s="37" t="s">
        <v>2164</v>
      </c>
    </row>
    <row r="699" spans="1:17" ht="15">
      <c r="A699">
        <v>697</v>
      </c>
      <c r="B699" s="37" t="s">
        <v>2126</v>
      </c>
      <c r="C699" s="37" t="s">
        <v>2165</v>
      </c>
      <c r="D699" s="37" t="s">
        <v>2166</v>
      </c>
      <c r="E699" s="37">
        <v>3</v>
      </c>
      <c r="F699" s="37" t="s">
        <v>1613</v>
      </c>
      <c r="G699" s="37" t="s">
        <v>1613</v>
      </c>
      <c r="H699" s="37" t="s">
        <v>1613</v>
      </c>
      <c r="I699" s="37" t="s">
        <v>1613</v>
      </c>
      <c r="J699" s="37" t="s">
        <v>1613</v>
      </c>
      <c r="K699" s="37" t="s">
        <v>1613</v>
      </c>
      <c r="L699" s="37" t="s">
        <v>1613</v>
      </c>
      <c r="M699" s="37" t="s">
        <v>1613</v>
      </c>
      <c r="N699" s="37" t="s">
        <v>1613</v>
      </c>
      <c r="O699" s="37" t="s">
        <v>1613</v>
      </c>
      <c r="P699" s="37" t="s">
        <v>1613</v>
      </c>
      <c r="Q699" s="37" t="s">
        <v>2167</v>
      </c>
    </row>
    <row r="700" spans="1:17" ht="15">
      <c r="A700">
        <v>698</v>
      </c>
      <c r="B700" s="37" t="s">
        <v>2126</v>
      </c>
      <c r="C700" s="37" t="s">
        <v>2168</v>
      </c>
      <c r="D700" s="37" t="s">
        <v>2169</v>
      </c>
      <c r="E700" s="37">
        <v>3</v>
      </c>
      <c r="F700" s="37" t="s">
        <v>1613</v>
      </c>
      <c r="G700" s="37" t="s">
        <v>1613</v>
      </c>
      <c r="H700" s="37" t="s">
        <v>1613</v>
      </c>
      <c r="I700" s="37" t="s">
        <v>1613</v>
      </c>
      <c r="J700" s="37" t="s">
        <v>1613</v>
      </c>
      <c r="K700" s="37" t="s">
        <v>1613</v>
      </c>
      <c r="L700" s="37" t="s">
        <v>1613</v>
      </c>
      <c r="M700" s="37" t="s">
        <v>1613</v>
      </c>
      <c r="N700" s="37" t="s">
        <v>1613</v>
      </c>
      <c r="O700" s="37" t="s">
        <v>1613</v>
      </c>
      <c r="P700" s="37" t="s">
        <v>1613</v>
      </c>
      <c r="Q700" s="37" t="s">
        <v>2170</v>
      </c>
    </row>
    <row r="701" spans="1:17" ht="15">
      <c r="A701">
        <v>699</v>
      </c>
      <c r="B701" s="37" t="s">
        <v>2171</v>
      </c>
      <c r="C701" s="37" t="s">
        <v>2172</v>
      </c>
      <c r="D701" s="37" t="s">
        <v>2173</v>
      </c>
      <c r="E701" s="37">
        <v>3</v>
      </c>
      <c r="F701" s="37" t="s">
        <v>77</v>
      </c>
      <c r="G701" s="37" t="s">
        <v>77</v>
      </c>
      <c r="H701" s="37" t="s">
        <v>77</v>
      </c>
      <c r="I701" s="37" t="s">
        <v>77</v>
      </c>
      <c r="J701" s="37" t="s">
        <v>77</v>
      </c>
      <c r="K701" s="37" t="s">
        <v>77</v>
      </c>
      <c r="L701" s="37" t="s">
        <v>77</v>
      </c>
      <c r="M701" s="37" t="s">
        <v>77</v>
      </c>
      <c r="N701" s="37" t="s">
        <v>77</v>
      </c>
      <c r="O701" s="37" t="s">
        <v>77</v>
      </c>
      <c r="P701" s="37" t="s">
        <v>77</v>
      </c>
      <c r="Q701" s="37" t="s">
        <v>2174</v>
      </c>
    </row>
    <row r="702" spans="1:17" ht="15">
      <c r="A702">
        <v>700</v>
      </c>
      <c r="B702" s="37" t="s">
        <v>2171</v>
      </c>
      <c r="C702" s="37" t="s">
        <v>2175</v>
      </c>
      <c r="D702" s="37" t="s">
        <v>2176</v>
      </c>
      <c r="E702" s="37">
        <v>3</v>
      </c>
      <c r="F702" s="37" t="s">
        <v>77</v>
      </c>
      <c r="G702" s="37" t="s">
        <v>77</v>
      </c>
      <c r="H702" s="37" t="s">
        <v>77</v>
      </c>
      <c r="I702" s="37" t="s">
        <v>77</v>
      </c>
      <c r="J702" s="37" t="s">
        <v>77</v>
      </c>
      <c r="K702" s="37" t="s">
        <v>77</v>
      </c>
      <c r="L702" s="37" t="s">
        <v>77</v>
      </c>
      <c r="M702" s="37" t="s">
        <v>77</v>
      </c>
      <c r="N702" s="37" t="s">
        <v>77</v>
      </c>
      <c r="O702" s="37" t="s">
        <v>77</v>
      </c>
      <c r="P702" s="37" t="s">
        <v>77</v>
      </c>
      <c r="Q702" s="37" t="s">
        <v>2177</v>
      </c>
    </row>
    <row r="703" spans="1:17" ht="15">
      <c r="A703">
        <v>701</v>
      </c>
      <c r="B703" s="37" t="s">
        <v>2171</v>
      </c>
      <c r="C703" s="37" t="s">
        <v>2178</v>
      </c>
      <c r="D703" s="37" t="s">
        <v>2179</v>
      </c>
      <c r="E703" s="37">
        <v>3</v>
      </c>
      <c r="F703" s="37" t="s">
        <v>77</v>
      </c>
      <c r="G703" s="37" t="s">
        <v>77</v>
      </c>
      <c r="H703" s="37" t="s">
        <v>77</v>
      </c>
      <c r="I703" s="37" t="s">
        <v>77</v>
      </c>
      <c r="J703" s="37" t="s">
        <v>77</v>
      </c>
      <c r="K703" s="37" t="s">
        <v>77</v>
      </c>
      <c r="L703" s="37" t="s">
        <v>77</v>
      </c>
      <c r="M703" s="37" t="s">
        <v>77</v>
      </c>
      <c r="N703" s="37" t="s">
        <v>77</v>
      </c>
      <c r="O703" s="37" t="s">
        <v>77</v>
      </c>
      <c r="P703" s="37" t="s">
        <v>77</v>
      </c>
      <c r="Q703" s="37" t="s">
        <v>2180</v>
      </c>
    </row>
    <row r="704" spans="1:17" ht="15">
      <c r="A704">
        <v>702</v>
      </c>
      <c r="B704" s="37" t="s">
        <v>2171</v>
      </c>
      <c r="C704" s="37" t="s">
        <v>2181</v>
      </c>
      <c r="D704" s="37" t="s">
        <v>2182</v>
      </c>
      <c r="E704" s="37">
        <v>3</v>
      </c>
      <c r="F704" s="37" t="s">
        <v>77</v>
      </c>
      <c r="G704" s="37" t="s">
        <v>77</v>
      </c>
      <c r="H704" s="37" t="s">
        <v>77</v>
      </c>
      <c r="I704" s="37" t="s">
        <v>77</v>
      </c>
      <c r="J704" s="37" t="s">
        <v>77</v>
      </c>
      <c r="K704" s="37" t="s">
        <v>77</v>
      </c>
      <c r="L704" s="37" t="s">
        <v>77</v>
      </c>
      <c r="M704" s="37" t="s">
        <v>77</v>
      </c>
      <c r="N704" s="37" t="s">
        <v>77</v>
      </c>
      <c r="O704" s="37" t="s">
        <v>77</v>
      </c>
      <c r="P704" s="37" t="s">
        <v>77</v>
      </c>
      <c r="Q704" s="37" t="s">
        <v>2183</v>
      </c>
    </row>
    <row r="705" spans="1:17" ht="15">
      <c r="A705">
        <v>703</v>
      </c>
      <c r="B705" s="37" t="s">
        <v>2171</v>
      </c>
      <c r="C705" s="37" t="s">
        <v>2184</v>
      </c>
      <c r="D705" s="37" t="s">
        <v>2185</v>
      </c>
      <c r="E705" s="37">
        <v>3</v>
      </c>
      <c r="F705" s="37" t="s">
        <v>77</v>
      </c>
      <c r="G705" s="37" t="s">
        <v>77</v>
      </c>
      <c r="H705" s="37" t="s">
        <v>77</v>
      </c>
      <c r="I705" s="37" t="s">
        <v>77</v>
      </c>
      <c r="J705" s="37" t="s">
        <v>77</v>
      </c>
      <c r="K705" s="37" t="s">
        <v>77</v>
      </c>
      <c r="L705" s="37" t="s">
        <v>77</v>
      </c>
      <c r="M705" s="37" t="s">
        <v>77</v>
      </c>
      <c r="N705" s="37" t="s">
        <v>77</v>
      </c>
      <c r="O705" s="37" t="s">
        <v>77</v>
      </c>
      <c r="P705" s="37" t="s">
        <v>77</v>
      </c>
      <c r="Q705" s="37" t="s">
        <v>2186</v>
      </c>
    </row>
    <row r="706" spans="1:17" ht="15">
      <c r="A706">
        <v>704</v>
      </c>
      <c r="B706" s="37" t="s">
        <v>2171</v>
      </c>
      <c r="C706" s="37" t="s">
        <v>2187</v>
      </c>
      <c r="D706" s="37" t="s">
        <v>2188</v>
      </c>
      <c r="E706" s="37">
        <v>3</v>
      </c>
      <c r="F706" s="37" t="s">
        <v>77</v>
      </c>
      <c r="G706" s="37" t="s">
        <v>77</v>
      </c>
      <c r="H706" s="37" t="s">
        <v>77</v>
      </c>
      <c r="I706" s="37" t="s">
        <v>77</v>
      </c>
      <c r="J706" s="37" t="s">
        <v>77</v>
      </c>
      <c r="K706" s="37" t="s">
        <v>77</v>
      </c>
      <c r="L706" s="37" t="s">
        <v>77</v>
      </c>
      <c r="M706" s="37" t="s">
        <v>77</v>
      </c>
      <c r="N706" s="37" t="s">
        <v>77</v>
      </c>
      <c r="O706" s="37" t="s">
        <v>77</v>
      </c>
      <c r="P706" s="37" t="s">
        <v>77</v>
      </c>
      <c r="Q706" s="37" t="s">
        <v>2189</v>
      </c>
    </row>
    <row r="707" spans="1:17" ht="15">
      <c r="A707">
        <v>705</v>
      </c>
      <c r="B707" s="37" t="s">
        <v>2171</v>
      </c>
      <c r="C707" s="37" t="s">
        <v>2190</v>
      </c>
      <c r="D707" s="37" t="s">
        <v>2191</v>
      </c>
      <c r="E707" s="37">
        <v>3</v>
      </c>
      <c r="F707" s="37" t="s">
        <v>77</v>
      </c>
      <c r="G707" s="37" t="s">
        <v>77</v>
      </c>
      <c r="H707" s="37" t="s">
        <v>77</v>
      </c>
      <c r="I707" s="37" t="s">
        <v>77</v>
      </c>
      <c r="J707" s="37" t="s">
        <v>77</v>
      </c>
      <c r="K707" s="37" t="s">
        <v>77</v>
      </c>
      <c r="L707" s="37" t="s">
        <v>77</v>
      </c>
      <c r="M707" s="37" t="s">
        <v>77</v>
      </c>
      <c r="N707" s="37" t="s">
        <v>77</v>
      </c>
      <c r="O707" s="37" t="s">
        <v>77</v>
      </c>
      <c r="P707" s="37" t="s">
        <v>77</v>
      </c>
      <c r="Q707" s="37" t="s">
        <v>2192</v>
      </c>
    </row>
    <row r="708" spans="1:17" ht="15">
      <c r="A708">
        <v>706</v>
      </c>
      <c r="B708" s="37" t="s">
        <v>2171</v>
      </c>
      <c r="C708" s="37" t="s">
        <v>2193</v>
      </c>
      <c r="D708" s="37" t="s">
        <v>2194</v>
      </c>
      <c r="E708" s="37">
        <v>3</v>
      </c>
      <c r="F708" s="37" t="s">
        <v>77</v>
      </c>
      <c r="G708" s="37" t="s">
        <v>77</v>
      </c>
      <c r="H708" s="37" t="s">
        <v>77</v>
      </c>
      <c r="I708" s="37" t="s">
        <v>77</v>
      </c>
      <c r="J708" s="37" t="s">
        <v>77</v>
      </c>
      <c r="K708" s="37" t="s">
        <v>77</v>
      </c>
      <c r="L708" s="37" t="s">
        <v>77</v>
      </c>
      <c r="M708" s="37" t="s">
        <v>77</v>
      </c>
      <c r="N708" s="37" t="s">
        <v>77</v>
      </c>
      <c r="O708" s="37" t="s">
        <v>77</v>
      </c>
      <c r="P708" s="37" t="s">
        <v>77</v>
      </c>
      <c r="Q708" s="37" t="s">
        <v>2195</v>
      </c>
    </row>
    <row r="709" spans="1:17" ht="15">
      <c r="A709">
        <v>707</v>
      </c>
      <c r="B709" s="37" t="s">
        <v>2171</v>
      </c>
      <c r="C709" s="37" t="s">
        <v>2196</v>
      </c>
      <c r="D709" s="37" t="s">
        <v>2197</v>
      </c>
      <c r="E709" s="37">
        <v>3</v>
      </c>
      <c r="F709" s="37" t="s">
        <v>77</v>
      </c>
      <c r="G709" s="37" t="s">
        <v>77</v>
      </c>
      <c r="H709" s="37" t="s">
        <v>77</v>
      </c>
      <c r="I709" s="37" t="s">
        <v>77</v>
      </c>
      <c r="J709" s="37" t="s">
        <v>77</v>
      </c>
      <c r="K709" s="37" t="s">
        <v>77</v>
      </c>
      <c r="L709" s="37" t="s">
        <v>77</v>
      </c>
      <c r="M709" s="37" t="s">
        <v>77</v>
      </c>
      <c r="N709" s="37" t="s">
        <v>77</v>
      </c>
      <c r="O709" s="37" t="s">
        <v>77</v>
      </c>
      <c r="P709" s="37" t="s">
        <v>77</v>
      </c>
      <c r="Q709" s="37" t="s">
        <v>2198</v>
      </c>
    </row>
    <row r="710" spans="1:17" ht="15">
      <c r="A710">
        <v>708</v>
      </c>
      <c r="B710" s="37" t="s">
        <v>2171</v>
      </c>
      <c r="C710" s="37" t="s">
        <v>2199</v>
      </c>
      <c r="D710" s="37" t="s">
        <v>2200</v>
      </c>
      <c r="E710" s="37">
        <v>3</v>
      </c>
      <c r="F710" s="37" t="s">
        <v>77</v>
      </c>
      <c r="G710" s="37" t="s">
        <v>77</v>
      </c>
      <c r="H710" s="37" t="s">
        <v>77</v>
      </c>
      <c r="I710" s="37" t="s">
        <v>77</v>
      </c>
      <c r="J710" s="37" t="s">
        <v>77</v>
      </c>
      <c r="K710" s="37" t="s">
        <v>77</v>
      </c>
      <c r="L710" s="37" t="s">
        <v>77</v>
      </c>
      <c r="M710" s="37" t="s">
        <v>77</v>
      </c>
      <c r="N710" s="37" t="s">
        <v>77</v>
      </c>
      <c r="O710" s="37" t="s">
        <v>77</v>
      </c>
      <c r="P710" s="37" t="s">
        <v>77</v>
      </c>
      <c r="Q710" s="37" t="s">
        <v>2201</v>
      </c>
    </row>
    <row r="711" spans="1:17" ht="15">
      <c r="A711">
        <v>709</v>
      </c>
      <c r="B711" s="37" t="s">
        <v>2171</v>
      </c>
      <c r="C711" s="37" t="s">
        <v>2202</v>
      </c>
      <c r="D711" s="37" t="s">
        <v>2203</v>
      </c>
      <c r="E711" s="37">
        <v>3</v>
      </c>
      <c r="F711" s="37" t="s">
        <v>77</v>
      </c>
      <c r="G711" s="37" t="s">
        <v>77</v>
      </c>
      <c r="H711" s="37" t="s">
        <v>77</v>
      </c>
      <c r="I711" s="37" t="s">
        <v>77</v>
      </c>
      <c r="J711" s="37" t="s">
        <v>77</v>
      </c>
      <c r="K711" s="37" t="s">
        <v>77</v>
      </c>
      <c r="L711" s="37" t="s">
        <v>77</v>
      </c>
      <c r="M711" s="37" t="s">
        <v>77</v>
      </c>
      <c r="N711" s="37" t="s">
        <v>77</v>
      </c>
      <c r="O711" s="37" t="s">
        <v>77</v>
      </c>
      <c r="P711" s="37" t="s">
        <v>77</v>
      </c>
      <c r="Q711" s="37" t="s">
        <v>2204</v>
      </c>
    </row>
    <row r="712" spans="1:17" ht="15">
      <c r="A712">
        <v>710</v>
      </c>
      <c r="B712" s="37" t="s">
        <v>2171</v>
      </c>
      <c r="C712" s="37" t="s">
        <v>2205</v>
      </c>
      <c r="D712" s="37" t="s">
        <v>2206</v>
      </c>
      <c r="E712" s="37">
        <v>3</v>
      </c>
      <c r="F712" s="37" t="s">
        <v>77</v>
      </c>
      <c r="G712" s="37" t="s">
        <v>77</v>
      </c>
      <c r="H712" s="37" t="s">
        <v>77</v>
      </c>
      <c r="I712" s="37" t="s">
        <v>77</v>
      </c>
      <c r="J712" s="37" t="s">
        <v>77</v>
      </c>
      <c r="K712" s="37" t="s">
        <v>77</v>
      </c>
      <c r="L712" s="37" t="s">
        <v>77</v>
      </c>
      <c r="M712" s="37" t="s">
        <v>77</v>
      </c>
      <c r="N712" s="37" t="s">
        <v>77</v>
      </c>
      <c r="O712" s="37" t="s">
        <v>77</v>
      </c>
      <c r="P712" s="37" t="s">
        <v>77</v>
      </c>
      <c r="Q712" s="37" t="s">
        <v>2207</v>
      </c>
    </row>
    <row r="713" spans="1:17" ht="15">
      <c r="A713">
        <v>711</v>
      </c>
      <c r="B713" s="37" t="s">
        <v>2171</v>
      </c>
      <c r="C713" s="37" t="s">
        <v>2208</v>
      </c>
      <c r="D713" s="37" t="s">
        <v>2209</v>
      </c>
      <c r="E713" s="37">
        <v>3</v>
      </c>
      <c r="F713" s="37" t="s">
        <v>77</v>
      </c>
      <c r="G713" s="37" t="s">
        <v>77</v>
      </c>
      <c r="H713" s="37" t="s">
        <v>77</v>
      </c>
      <c r="I713" s="37" t="s">
        <v>77</v>
      </c>
      <c r="J713" s="37" t="s">
        <v>77</v>
      </c>
      <c r="K713" s="37" t="s">
        <v>77</v>
      </c>
      <c r="L713" s="37" t="s">
        <v>77</v>
      </c>
      <c r="M713" s="37" t="s">
        <v>77</v>
      </c>
      <c r="N713" s="37" t="s">
        <v>77</v>
      </c>
      <c r="O713" s="37" t="s">
        <v>77</v>
      </c>
      <c r="P713" s="37" t="s">
        <v>77</v>
      </c>
      <c r="Q713" s="37" t="s">
        <v>2210</v>
      </c>
    </row>
    <row r="714" spans="1:17" ht="15">
      <c r="A714">
        <v>712</v>
      </c>
      <c r="B714" s="37" t="s">
        <v>2171</v>
      </c>
      <c r="C714" s="37" t="s">
        <v>2211</v>
      </c>
      <c r="D714" s="37" t="s">
        <v>2212</v>
      </c>
      <c r="E714" s="37">
        <v>3</v>
      </c>
      <c r="F714" s="37" t="s">
        <v>77</v>
      </c>
      <c r="G714" s="37" t="s">
        <v>77</v>
      </c>
      <c r="H714" s="37" t="s">
        <v>77</v>
      </c>
      <c r="I714" s="37" t="s">
        <v>77</v>
      </c>
      <c r="J714" s="37" t="s">
        <v>77</v>
      </c>
      <c r="K714" s="37" t="s">
        <v>77</v>
      </c>
      <c r="L714" s="37" t="s">
        <v>77</v>
      </c>
      <c r="M714" s="37" t="s">
        <v>77</v>
      </c>
      <c r="N714" s="37" t="s">
        <v>77</v>
      </c>
      <c r="O714" s="37" t="s">
        <v>77</v>
      </c>
      <c r="P714" s="37" t="s">
        <v>77</v>
      </c>
      <c r="Q714" s="37" t="s">
        <v>2213</v>
      </c>
    </row>
    <row r="715" spans="1:17" ht="15">
      <c r="A715">
        <v>713</v>
      </c>
      <c r="B715" s="37" t="s">
        <v>2214</v>
      </c>
      <c r="C715" s="37" t="s">
        <v>2215</v>
      </c>
      <c r="D715" s="37" t="s">
        <v>2216</v>
      </c>
      <c r="E715" s="37">
        <v>3</v>
      </c>
      <c r="F715" s="37" t="s">
        <v>77</v>
      </c>
      <c r="G715" s="37" t="s">
        <v>77</v>
      </c>
      <c r="H715" s="37" t="s">
        <v>77</v>
      </c>
      <c r="I715" s="37" t="s">
        <v>77</v>
      </c>
      <c r="J715" s="37" t="s">
        <v>77</v>
      </c>
      <c r="K715" s="37" t="s">
        <v>77</v>
      </c>
      <c r="L715" s="37" t="s">
        <v>77</v>
      </c>
      <c r="M715" s="37" t="s">
        <v>77</v>
      </c>
      <c r="N715" s="37" t="s">
        <v>77</v>
      </c>
      <c r="O715" s="37" t="s">
        <v>77</v>
      </c>
      <c r="P715" s="37" t="s">
        <v>77</v>
      </c>
      <c r="Q715" s="37" t="s">
        <v>2217</v>
      </c>
    </row>
    <row r="716" spans="1:17" ht="15">
      <c r="A716">
        <v>714</v>
      </c>
      <c r="B716" s="37" t="s">
        <v>2214</v>
      </c>
      <c r="C716" s="37" t="s">
        <v>2218</v>
      </c>
      <c r="D716" s="37" t="s">
        <v>2219</v>
      </c>
      <c r="E716" s="37">
        <v>3</v>
      </c>
      <c r="F716" s="37" t="s">
        <v>77</v>
      </c>
      <c r="G716" s="37" t="s">
        <v>77</v>
      </c>
      <c r="H716" s="37" t="s">
        <v>77</v>
      </c>
      <c r="I716" s="37" t="s">
        <v>77</v>
      </c>
      <c r="J716" s="37" t="s">
        <v>77</v>
      </c>
      <c r="K716" s="37" t="s">
        <v>77</v>
      </c>
      <c r="L716" s="37" t="s">
        <v>77</v>
      </c>
      <c r="M716" s="37" t="s">
        <v>77</v>
      </c>
      <c r="N716" s="37" t="s">
        <v>77</v>
      </c>
      <c r="O716" s="37" t="s">
        <v>77</v>
      </c>
      <c r="P716" s="37" t="s">
        <v>77</v>
      </c>
      <c r="Q716" s="37" t="s">
        <v>2220</v>
      </c>
    </row>
    <row r="717" spans="1:17" ht="15">
      <c r="A717">
        <v>715</v>
      </c>
      <c r="B717" s="37" t="s">
        <v>2214</v>
      </c>
      <c r="C717" s="37" t="s">
        <v>2221</v>
      </c>
      <c r="D717" s="37" t="s">
        <v>2222</v>
      </c>
      <c r="E717" s="37">
        <v>3</v>
      </c>
      <c r="F717" s="37" t="s">
        <v>77</v>
      </c>
      <c r="G717" s="37" t="s">
        <v>77</v>
      </c>
      <c r="H717" s="37" t="s">
        <v>77</v>
      </c>
      <c r="I717" s="37" t="s">
        <v>77</v>
      </c>
      <c r="J717" s="37" t="s">
        <v>77</v>
      </c>
      <c r="K717" s="37" t="s">
        <v>77</v>
      </c>
      <c r="L717" s="37" t="s">
        <v>77</v>
      </c>
      <c r="M717" s="37" t="s">
        <v>77</v>
      </c>
      <c r="N717" s="37" t="s">
        <v>77</v>
      </c>
      <c r="O717" s="37" t="s">
        <v>77</v>
      </c>
      <c r="P717" s="37" t="s">
        <v>77</v>
      </c>
      <c r="Q717" s="37" t="s">
        <v>2223</v>
      </c>
    </row>
    <row r="718" spans="1:17" ht="15">
      <c r="A718">
        <v>716</v>
      </c>
      <c r="B718" s="37" t="s">
        <v>2214</v>
      </c>
      <c r="C718" s="37" t="s">
        <v>2224</v>
      </c>
      <c r="D718" s="37" t="s">
        <v>2225</v>
      </c>
      <c r="E718" s="37">
        <v>3</v>
      </c>
      <c r="F718" s="37" t="s">
        <v>77</v>
      </c>
      <c r="G718" s="37" t="s">
        <v>77</v>
      </c>
      <c r="H718" s="37" t="s">
        <v>77</v>
      </c>
      <c r="I718" s="37" t="s">
        <v>77</v>
      </c>
      <c r="J718" s="37" t="s">
        <v>77</v>
      </c>
      <c r="K718" s="37" t="s">
        <v>77</v>
      </c>
      <c r="L718" s="37" t="s">
        <v>77</v>
      </c>
      <c r="M718" s="37" t="s">
        <v>77</v>
      </c>
      <c r="N718" s="37" t="s">
        <v>77</v>
      </c>
      <c r="O718" s="37" t="s">
        <v>77</v>
      </c>
      <c r="P718" s="37" t="s">
        <v>77</v>
      </c>
      <c r="Q718" s="37" t="s">
        <v>2226</v>
      </c>
    </row>
    <row r="719" spans="1:17" ht="15">
      <c r="A719">
        <v>717</v>
      </c>
      <c r="B719" s="37" t="s">
        <v>2214</v>
      </c>
      <c r="C719" s="37" t="s">
        <v>2227</v>
      </c>
      <c r="D719" s="37" t="s">
        <v>2228</v>
      </c>
      <c r="E719" s="37">
        <v>3</v>
      </c>
      <c r="F719" s="37" t="s">
        <v>77</v>
      </c>
      <c r="G719" s="37" t="s">
        <v>77</v>
      </c>
      <c r="H719" s="37" t="s">
        <v>77</v>
      </c>
      <c r="I719" s="37" t="s">
        <v>77</v>
      </c>
      <c r="J719" s="37" t="s">
        <v>77</v>
      </c>
      <c r="K719" s="37" t="s">
        <v>77</v>
      </c>
      <c r="L719" s="37" t="s">
        <v>77</v>
      </c>
      <c r="M719" s="37" t="s">
        <v>77</v>
      </c>
      <c r="N719" s="37" t="s">
        <v>77</v>
      </c>
      <c r="O719" s="37" t="s">
        <v>77</v>
      </c>
      <c r="P719" s="37" t="s">
        <v>77</v>
      </c>
      <c r="Q719" s="37" t="s">
        <v>2229</v>
      </c>
    </row>
    <row r="720" spans="1:17" ht="15">
      <c r="A720">
        <v>718</v>
      </c>
      <c r="B720" s="37" t="s">
        <v>2214</v>
      </c>
      <c r="C720" s="37" t="s">
        <v>2230</v>
      </c>
      <c r="D720" s="37" t="s">
        <v>2231</v>
      </c>
      <c r="E720" s="37">
        <v>3</v>
      </c>
      <c r="F720" s="37" t="s">
        <v>77</v>
      </c>
      <c r="G720" s="37" t="s">
        <v>77</v>
      </c>
      <c r="H720" s="37" t="s">
        <v>77</v>
      </c>
      <c r="I720" s="37" t="s">
        <v>77</v>
      </c>
      <c r="J720" s="37" t="s">
        <v>77</v>
      </c>
      <c r="K720" s="37" t="s">
        <v>77</v>
      </c>
      <c r="L720" s="37" t="s">
        <v>77</v>
      </c>
      <c r="M720" s="37" t="s">
        <v>77</v>
      </c>
      <c r="N720" s="37" t="s">
        <v>77</v>
      </c>
      <c r="O720" s="37" t="s">
        <v>77</v>
      </c>
      <c r="P720" s="37" t="s">
        <v>77</v>
      </c>
      <c r="Q720" s="37" t="s">
        <v>2232</v>
      </c>
    </row>
    <row r="721" spans="1:17" ht="15">
      <c r="A721">
        <v>719</v>
      </c>
      <c r="B721" s="37" t="s">
        <v>2214</v>
      </c>
      <c r="C721" s="37" t="s">
        <v>2233</v>
      </c>
      <c r="D721" s="37" t="s">
        <v>2234</v>
      </c>
      <c r="E721" s="37">
        <v>3</v>
      </c>
      <c r="F721" s="37" t="s">
        <v>77</v>
      </c>
      <c r="G721" s="37" t="s">
        <v>77</v>
      </c>
      <c r="H721" s="37" t="s">
        <v>77</v>
      </c>
      <c r="I721" s="37" t="s">
        <v>77</v>
      </c>
      <c r="J721" s="37" t="s">
        <v>77</v>
      </c>
      <c r="K721" s="37" t="s">
        <v>77</v>
      </c>
      <c r="L721" s="37" t="s">
        <v>77</v>
      </c>
      <c r="M721" s="37" t="s">
        <v>77</v>
      </c>
      <c r="N721" s="37" t="s">
        <v>77</v>
      </c>
      <c r="O721" s="37" t="s">
        <v>77</v>
      </c>
      <c r="P721" s="37" t="s">
        <v>77</v>
      </c>
      <c r="Q721" s="37" t="s">
        <v>2235</v>
      </c>
    </row>
    <row r="722" spans="1:17" ht="15">
      <c r="A722">
        <v>720</v>
      </c>
      <c r="B722" s="37" t="s">
        <v>2214</v>
      </c>
      <c r="C722" s="37" t="s">
        <v>2236</v>
      </c>
      <c r="D722" s="37" t="s">
        <v>2237</v>
      </c>
      <c r="E722" s="37">
        <v>3</v>
      </c>
      <c r="F722" s="37" t="s">
        <v>77</v>
      </c>
      <c r="G722" s="37" t="s">
        <v>77</v>
      </c>
      <c r="H722" s="37" t="s">
        <v>77</v>
      </c>
      <c r="I722" s="37" t="s">
        <v>77</v>
      </c>
      <c r="J722" s="37" t="s">
        <v>77</v>
      </c>
      <c r="K722" s="37" t="s">
        <v>77</v>
      </c>
      <c r="L722" s="37" t="s">
        <v>77</v>
      </c>
      <c r="M722" s="37" t="s">
        <v>77</v>
      </c>
      <c r="N722" s="37" t="s">
        <v>77</v>
      </c>
      <c r="O722" s="37" t="s">
        <v>77</v>
      </c>
      <c r="P722" s="37" t="s">
        <v>77</v>
      </c>
      <c r="Q722" s="37" t="s">
        <v>2238</v>
      </c>
    </row>
    <row r="723" spans="1:17" ht="15">
      <c r="A723">
        <v>721</v>
      </c>
      <c r="B723" s="37" t="s">
        <v>2214</v>
      </c>
      <c r="C723" s="37" t="s">
        <v>2239</v>
      </c>
      <c r="D723" s="37" t="s">
        <v>2240</v>
      </c>
      <c r="E723" s="37">
        <v>3</v>
      </c>
      <c r="F723" s="37" t="s">
        <v>77</v>
      </c>
      <c r="G723" s="37" t="s">
        <v>77</v>
      </c>
      <c r="H723" s="37" t="s">
        <v>77</v>
      </c>
      <c r="I723" s="37" t="s">
        <v>77</v>
      </c>
      <c r="J723" s="37" t="s">
        <v>77</v>
      </c>
      <c r="K723" s="37" t="s">
        <v>77</v>
      </c>
      <c r="L723" s="37" t="s">
        <v>77</v>
      </c>
      <c r="M723" s="37" t="s">
        <v>77</v>
      </c>
      <c r="N723" s="37" t="s">
        <v>77</v>
      </c>
      <c r="O723" s="37" t="s">
        <v>77</v>
      </c>
      <c r="P723" s="37" t="s">
        <v>77</v>
      </c>
      <c r="Q723" s="37" t="s">
        <v>2241</v>
      </c>
    </row>
    <row r="724" spans="1:17" ht="15">
      <c r="A724">
        <v>722</v>
      </c>
      <c r="B724" s="37" t="s">
        <v>2214</v>
      </c>
      <c r="C724" s="37" t="s">
        <v>2242</v>
      </c>
      <c r="D724" s="37" t="s">
        <v>2243</v>
      </c>
      <c r="E724" s="37">
        <v>3</v>
      </c>
      <c r="F724" s="37" t="s">
        <v>77</v>
      </c>
      <c r="G724" s="37" t="s">
        <v>77</v>
      </c>
      <c r="H724" s="37" t="s">
        <v>77</v>
      </c>
      <c r="I724" s="37" t="s">
        <v>77</v>
      </c>
      <c r="J724" s="37" t="s">
        <v>77</v>
      </c>
      <c r="K724" s="37" t="s">
        <v>77</v>
      </c>
      <c r="L724" s="37" t="s">
        <v>77</v>
      </c>
      <c r="M724" s="37" t="s">
        <v>77</v>
      </c>
      <c r="N724" s="37" t="s">
        <v>77</v>
      </c>
      <c r="O724" s="37" t="s">
        <v>77</v>
      </c>
      <c r="P724" s="37" t="s">
        <v>77</v>
      </c>
      <c r="Q724" s="37" t="s">
        <v>2244</v>
      </c>
    </row>
    <row r="725" spans="1:17" ht="15">
      <c r="A725">
        <v>723</v>
      </c>
      <c r="B725" s="37" t="s">
        <v>2214</v>
      </c>
      <c r="C725" s="37" t="s">
        <v>2245</v>
      </c>
      <c r="D725" s="37" t="s">
        <v>2246</v>
      </c>
      <c r="E725" s="37">
        <v>3</v>
      </c>
      <c r="F725" s="37" t="s">
        <v>77</v>
      </c>
      <c r="G725" s="37" t="s">
        <v>77</v>
      </c>
      <c r="H725" s="37" t="s">
        <v>77</v>
      </c>
      <c r="I725" s="37" t="s">
        <v>77</v>
      </c>
      <c r="J725" s="37" t="s">
        <v>77</v>
      </c>
      <c r="K725" s="37" t="s">
        <v>77</v>
      </c>
      <c r="L725" s="37" t="s">
        <v>77</v>
      </c>
      <c r="M725" s="37" t="s">
        <v>77</v>
      </c>
      <c r="N725" s="37" t="s">
        <v>77</v>
      </c>
      <c r="O725" s="37" t="s">
        <v>77</v>
      </c>
      <c r="P725" s="37" t="s">
        <v>77</v>
      </c>
      <c r="Q725" s="37" t="s">
        <v>2247</v>
      </c>
    </row>
    <row r="726" spans="1:17" ht="15">
      <c r="A726">
        <v>724</v>
      </c>
      <c r="B726" s="37" t="s">
        <v>2214</v>
      </c>
      <c r="C726" s="37" t="s">
        <v>2248</v>
      </c>
      <c r="D726" s="37" t="s">
        <v>2249</v>
      </c>
      <c r="E726" s="37">
        <v>3</v>
      </c>
      <c r="F726" s="37" t="s">
        <v>77</v>
      </c>
      <c r="G726" s="37" t="s">
        <v>77</v>
      </c>
      <c r="H726" s="37" t="s">
        <v>77</v>
      </c>
      <c r="I726" s="37" t="s">
        <v>77</v>
      </c>
      <c r="J726" s="37" t="s">
        <v>77</v>
      </c>
      <c r="K726" s="37" t="s">
        <v>77</v>
      </c>
      <c r="L726" s="37" t="s">
        <v>77</v>
      </c>
      <c r="M726" s="37" t="s">
        <v>77</v>
      </c>
      <c r="N726" s="37" t="s">
        <v>77</v>
      </c>
      <c r="O726" s="37" t="s">
        <v>77</v>
      </c>
      <c r="P726" s="37" t="s">
        <v>77</v>
      </c>
      <c r="Q726" s="37" t="s">
        <v>2250</v>
      </c>
    </row>
    <row r="727" spans="1:17" ht="15">
      <c r="A727">
        <v>725</v>
      </c>
      <c r="B727" s="37" t="s">
        <v>2214</v>
      </c>
      <c r="C727" s="37" t="s">
        <v>2251</v>
      </c>
      <c r="D727" s="37" t="s">
        <v>2252</v>
      </c>
      <c r="E727" s="37">
        <v>3</v>
      </c>
      <c r="F727" s="37" t="s">
        <v>77</v>
      </c>
      <c r="G727" s="37" t="s">
        <v>77</v>
      </c>
      <c r="H727" s="37" t="s">
        <v>77</v>
      </c>
      <c r="I727" s="37" t="s">
        <v>77</v>
      </c>
      <c r="J727" s="37" t="s">
        <v>77</v>
      </c>
      <c r="K727" s="37" t="s">
        <v>77</v>
      </c>
      <c r="L727" s="37" t="s">
        <v>77</v>
      </c>
      <c r="M727" s="37" t="s">
        <v>77</v>
      </c>
      <c r="N727" s="37" t="s">
        <v>77</v>
      </c>
      <c r="O727" s="37" t="s">
        <v>77</v>
      </c>
      <c r="P727" s="37" t="s">
        <v>77</v>
      </c>
      <c r="Q727" s="37" t="s">
        <v>2253</v>
      </c>
    </row>
    <row r="728" spans="1:17" ht="15">
      <c r="A728">
        <v>726</v>
      </c>
      <c r="B728" s="37" t="s">
        <v>2214</v>
      </c>
      <c r="C728" s="37" t="s">
        <v>2254</v>
      </c>
      <c r="D728" s="37" t="s">
        <v>2255</v>
      </c>
      <c r="E728" s="37">
        <v>3</v>
      </c>
      <c r="F728" s="37" t="s">
        <v>77</v>
      </c>
      <c r="G728" s="37" t="s">
        <v>77</v>
      </c>
      <c r="H728" s="37" t="s">
        <v>77</v>
      </c>
      <c r="I728" s="37" t="s">
        <v>77</v>
      </c>
      <c r="J728" s="37" t="s">
        <v>77</v>
      </c>
      <c r="K728" s="37" t="s">
        <v>77</v>
      </c>
      <c r="L728" s="37" t="s">
        <v>77</v>
      </c>
      <c r="M728" s="37" t="s">
        <v>77</v>
      </c>
      <c r="N728" s="37" t="s">
        <v>77</v>
      </c>
      <c r="O728" s="37" t="s">
        <v>77</v>
      </c>
      <c r="P728" s="37" t="s">
        <v>77</v>
      </c>
      <c r="Q728" s="37" t="s">
        <v>2256</v>
      </c>
    </row>
    <row r="729" spans="1:17" ht="15">
      <c r="A729">
        <v>727</v>
      </c>
      <c r="B729" s="37" t="s">
        <v>2214</v>
      </c>
      <c r="C729" s="37" t="s">
        <v>2257</v>
      </c>
      <c r="D729" s="37" t="s">
        <v>2258</v>
      </c>
      <c r="E729" s="37">
        <v>3</v>
      </c>
      <c r="F729" s="37" t="s">
        <v>77</v>
      </c>
      <c r="G729" s="37" t="s">
        <v>77</v>
      </c>
      <c r="H729" s="37" t="s">
        <v>77</v>
      </c>
      <c r="I729" s="37" t="s">
        <v>77</v>
      </c>
      <c r="J729" s="37" t="s">
        <v>77</v>
      </c>
      <c r="K729" s="37" t="s">
        <v>77</v>
      </c>
      <c r="L729" s="37" t="s">
        <v>77</v>
      </c>
      <c r="M729" s="37" t="s">
        <v>77</v>
      </c>
      <c r="N729" s="37" t="s">
        <v>77</v>
      </c>
      <c r="O729" s="37" t="s">
        <v>77</v>
      </c>
      <c r="P729" s="37" t="s">
        <v>77</v>
      </c>
      <c r="Q729" s="37" t="s">
        <v>2259</v>
      </c>
    </row>
    <row r="730" spans="1:17" ht="15">
      <c r="A730">
        <v>728</v>
      </c>
      <c r="B730" s="37" t="s">
        <v>2214</v>
      </c>
      <c r="C730" s="37" t="s">
        <v>2260</v>
      </c>
      <c r="D730" s="37" t="s">
        <v>2261</v>
      </c>
      <c r="E730" s="37">
        <v>3</v>
      </c>
      <c r="F730" s="37" t="s">
        <v>77</v>
      </c>
      <c r="G730" s="37" t="s">
        <v>77</v>
      </c>
      <c r="H730" s="37" t="s">
        <v>77</v>
      </c>
      <c r="I730" s="37" t="s">
        <v>77</v>
      </c>
      <c r="J730" s="37" t="s">
        <v>77</v>
      </c>
      <c r="K730" s="37" t="s">
        <v>77</v>
      </c>
      <c r="L730" s="37" t="s">
        <v>77</v>
      </c>
      <c r="M730" s="37" t="s">
        <v>77</v>
      </c>
      <c r="N730" s="37" t="s">
        <v>77</v>
      </c>
      <c r="O730" s="37" t="s">
        <v>77</v>
      </c>
      <c r="P730" s="37" t="s">
        <v>77</v>
      </c>
      <c r="Q730" s="37" t="s">
        <v>2262</v>
      </c>
    </row>
    <row r="731" spans="1:17" ht="15">
      <c r="A731">
        <v>729</v>
      </c>
      <c r="B731" s="37" t="s">
        <v>2214</v>
      </c>
      <c r="C731" s="37" t="s">
        <v>2263</v>
      </c>
      <c r="D731" s="37" t="s">
        <v>2264</v>
      </c>
      <c r="E731" s="37">
        <v>3</v>
      </c>
      <c r="F731" s="37" t="s">
        <v>77</v>
      </c>
      <c r="G731" s="37" t="s">
        <v>77</v>
      </c>
      <c r="H731" s="37" t="s">
        <v>77</v>
      </c>
      <c r="I731" s="37" t="s">
        <v>77</v>
      </c>
      <c r="J731" s="37" t="s">
        <v>77</v>
      </c>
      <c r="K731" s="37" t="s">
        <v>77</v>
      </c>
      <c r="L731" s="37" t="s">
        <v>77</v>
      </c>
      <c r="M731" s="37" t="s">
        <v>77</v>
      </c>
      <c r="N731" s="37" t="s">
        <v>77</v>
      </c>
      <c r="O731" s="37" t="s">
        <v>77</v>
      </c>
      <c r="P731" s="37" t="s">
        <v>77</v>
      </c>
      <c r="Q731" s="37" t="s">
        <v>2265</v>
      </c>
    </row>
    <row r="732" spans="1:17" ht="15">
      <c r="A732">
        <v>730</v>
      </c>
      <c r="B732" s="37" t="s">
        <v>2266</v>
      </c>
      <c r="C732" s="37" t="s">
        <v>2267</v>
      </c>
      <c r="D732" s="37" t="s">
        <v>2268</v>
      </c>
      <c r="E732" s="37">
        <v>3</v>
      </c>
      <c r="F732" s="37" t="s">
        <v>1613</v>
      </c>
      <c r="G732" s="37" t="s">
        <v>1613</v>
      </c>
      <c r="H732" s="37" t="s">
        <v>1613</v>
      </c>
      <c r="I732" s="37" t="s">
        <v>1613</v>
      </c>
      <c r="J732" s="37" t="s">
        <v>1613</v>
      </c>
      <c r="K732" s="37" t="s">
        <v>1613</v>
      </c>
      <c r="L732" s="37" t="s">
        <v>1613</v>
      </c>
      <c r="M732" s="37" t="s">
        <v>1613</v>
      </c>
      <c r="N732" s="37" t="s">
        <v>1613</v>
      </c>
      <c r="O732" s="37" t="s">
        <v>1613</v>
      </c>
      <c r="P732" s="37" t="s">
        <v>1613</v>
      </c>
      <c r="Q732" s="37" t="s">
        <v>2269</v>
      </c>
    </row>
    <row r="733" spans="1:17" ht="15">
      <c r="A733">
        <v>731</v>
      </c>
      <c r="B733" s="37" t="s">
        <v>2266</v>
      </c>
      <c r="C733" s="37" t="s">
        <v>2270</v>
      </c>
      <c r="D733" s="37" t="s">
        <v>2271</v>
      </c>
      <c r="E733" s="37">
        <v>3</v>
      </c>
      <c r="F733" s="37" t="s">
        <v>1613</v>
      </c>
      <c r="G733" s="37" t="s">
        <v>1613</v>
      </c>
      <c r="H733" s="37" t="s">
        <v>1613</v>
      </c>
      <c r="I733" s="37" t="s">
        <v>1613</v>
      </c>
      <c r="J733" s="37" t="s">
        <v>1613</v>
      </c>
      <c r="K733" s="37" t="s">
        <v>1613</v>
      </c>
      <c r="L733" s="37" t="s">
        <v>1613</v>
      </c>
      <c r="M733" s="37" t="s">
        <v>1613</v>
      </c>
      <c r="N733" s="37" t="s">
        <v>1613</v>
      </c>
      <c r="O733" s="37" t="s">
        <v>1613</v>
      </c>
      <c r="P733" s="37" t="s">
        <v>1613</v>
      </c>
      <c r="Q733" s="37" t="s">
        <v>2272</v>
      </c>
    </row>
    <row r="734" spans="1:17" ht="15">
      <c r="A734">
        <v>732</v>
      </c>
      <c r="B734" s="37" t="s">
        <v>2266</v>
      </c>
      <c r="C734" s="37" t="s">
        <v>2273</v>
      </c>
      <c r="D734" s="37" t="s">
        <v>2274</v>
      </c>
      <c r="E734" s="37">
        <v>3</v>
      </c>
      <c r="F734" s="37" t="s">
        <v>1613</v>
      </c>
      <c r="G734" s="37" t="s">
        <v>1613</v>
      </c>
      <c r="H734" s="37" t="s">
        <v>1613</v>
      </c>
      <c r="I734" s="37" t="s">
        <v>1613</v>
      </c>
      <c r="J734" s="37" t="s">
        <v>1613</v>
      </c>
      <c r="K734" s="37" t="s">
        <v>1613</v>
      </c>
      <c r="L734" s="37" t="s">
        <v>1613</v>
      </c>
      <c r="M734" s="37" t="s">
        <v>1613</v>
      </c>
      <c r="N734" s="37" t="s">
        <v>1613</v>
      </c>
      <c r="O734" s="37" t="s">
        <v>1613</v>
      </c>
      <c r="P734" s="37" t="s">
        <v>1613</v>
      </c>
      <c r="Q734" s="37" t="s">
        <v>2275</v>
      </c>
    </row>
    <row r="735" spans="1:17" ht="15">
      <c r="A735">
        <v>733</v>
      </c>
      <c r="B735" s="37" t="s">
        <v>2266</v>
      </c>
      <c r="C735" s="37" t="s">
        <v>2276</v>
      </c>
      <c r="D735" s="37" t="s">
        <v>2277</v>
      </c>
      <c r="E735" s="37">
        <v>3</v>
      </c>
      <c r="F735" s="37" t="s">
        <v>1613</v>
      </c>
      <c r="G735" s="37" t="s">
        <v>1613</v>
      </c>
      <c r="H735" s="37" t="s">
        <v>1613</v>
      </c>
      <c r="I735" s="37" t="s">
        <v>1613</v>
      </c>
      <c r="J735" s="37" t="s">
        <v>1613</v>
      </c>
      <c r="K735" s="37" t="s">
        <v>1613</v>
      </c>
      <c r="L735" s="37" t="s">
        <v>1613</v>
      </c>
      <c r="M735" s="37" t="s">
        <v>1613</v>
      </c>
      <c r="N735" s="37" t="s">
        <v>1613</v>
      </c>
      <c r="O735" s="37" t="s">
        <v>1613</v>
      </c>
      <c r="P735" s="37" t="s">
        <v>1613</v>
      </c>
      <c r="Q735" s="37" t="s">
        <v>2278</v>
      </c>
    </row>
    <row r="736" spans="1:17" ht="15">
      <c r="A736">
        <v>734</v>
      </c>
      <c r="B736" s="37" t="s">
        <v>2266</v>
      </c>
      <c r="C736" s="37" t="s">
        <v>2279</v>
      </c>
      <c r="D736" s="37" t="s">
        <v>2280</v>
      </c>
      <c r="E736" s="37">
        <v>3</v>
      </c>
      <c r="F736" s="37" t="s">
        <v>1613</v>
      </c>
      <c r="G736" s="37" t="s">
        <v>1613</v>
      </c>
      <c r="H736" s="37" t="s">
        <v>1613</v>
      </c>
      <c r="I736" s="37" t="s">
        <v>1613</v>
      </c>
      <c r="J736" s="37" t="s">
        <v>1613</v>
      </c>
      <c r="K736" s="37" t="s">
        <v>1613</v>
      </c>
      <c r="L736" s="37" t="s">
        <v>1613</v>
      </c>
      <c r="M736" s="37" t="s">
        <v>1613</v>
      </c>
      <c r="N736" s="37" t="s">
        <v>1613</v>
      </c>
      <c r="O736" s="37" t="s">
        <v>1613</v>
      </c>
      <c r="P736" s="37" t="s">
        <v>1613</v>
      </c>
      <c r="Q736" s="37" t="s">
        <v>2281</v>
      </c>
    </row>
    <row r="737" spans="1:17" ht="15">
      <c r="A737">
        <v>735</v>
      </c>
      <c r="B737" s="37" t="s">
        <v>2266</v>
      </c>
      <c r="C737" s="37" t="s">
        <v>2282</v>
      </c>
      <c r="D737" s="37" t="s">
        <v>2283</v>
      </c>
      <c r="E737" s="37">
        <v>3</v>
      </c>
      <c r="F737" s="37" t="s">
        <v>1613</v>
      </c>
      <c r="G737" s="37" t="s">
        <v>1613</v>
      </c>
      <c r="H737" s="37" t="s">
        <v>1613</v>
      </c>
      <c r="I737" s="37" t="s">
        <v>1613</v>
      </c>
      <c r="J737" s="37" t="s">
        <v>1613</v>
      </c>
      <c r="K737" s="37" t="s">
        <v>1613</v>
      </c>
      <c r="L737" s="37" t="s">
        <v>1613</v>
      </c>
      <c r="M737" s="37" t="s">
        <v>1613</v>
      </c>
      <c r="N737" s="37" t="s">
        <v>1613</v>
      </c>
      <c r="O737" s="37" t="s">
        <v>1613</v>
      </c>
      <c r="P737" s="37" t="s">
        <v>1613</v>
      </c>
      <c r="Q737" s="37" t="s">
        <v>2284</v>
      </c>
    </row>
    <row r="738" spans="1:17" ht="15">
      <c r="A738">
        <v>736</v>
      </c>
      <c r="B738" s="37" t="s">
        <v>2266</v>
      </c>
      <c r="C738" s="37" t="s">
        <v>2285</v>
      </c>
      <c r="D738" s="37" t="s">
        <v>2286</v>
      </c>
      <c r="E738" s="37">
        <v>3</v>
      </c>
      <c r="F738" s="37" t="s">
        <v>1613</v>
      </c>
      <c r="G738" s="37" t="s">
        <v>1613</v>
      </c>
      <c r="H738" s="37" t="s">
        <v>1613</v>
      </c>
      <c r="I738" s="37" t="s">
        <v>1613</v>
      </c>
      <c r="J738" s="37" t="s">
        <v>1613</v>
      </c>
      <c r="K738" s="37" t="s">
        <v>1613</v>
      </c>
      <c r="L738" s="37" t="s">
        <v>1613</v>
      </c>
      <c r="M738" s="37" t="s">
        <v>1613</v>
      </c>
      <c r="N738" s="37" t="s">
        <v>1613</v>
      </c>
      <c r="O738" s="37" t="s">
        <v>1613</v>
      </c>
      <c r="P738" s="37" t="s">
        <v>1613</v>
      </c>
      <c r="Q738" s="37" t="s">
        <v>2287</v>
      </c>
    </row>
    <row r="739" spans="1:17" ht="15">
      <c r="A739">
        <v>737</v>
      </c>
      <c r="B739" s="37" t="s">
        <v>2266</v>
      </c>
      <c r="C739" s="37" t="s">
        <v>2288</v>
      </c>
      <c r="D739" s="37" t="s">
        <v>2289</v>
      </c>
      <c r="E739" s="37">
        <v>3</v>
      </c>
      <c r="F739" s="37" t="s">
        <v>1613</v>
      </c>
      <c r="G739" s="37" t="s">
        <v>1613</v>
      </c>
      <c r="H739" s="37" t="s">
        <v>1613</v>
      </c>
      <c r="I739" s="37" t="s">
        <v>1613</v>
      </c>
      <c r="J739" s="37" t="s">
        <v>1613</v>
      </c>
      <c r="K739" s="37" t="s">
        <v>1613</v>
      </c>
      <c r="L739" s="37" t="s">
        <v>1613</v>
      </c>
      <c r="M739" s="37" t="s">
        <v>1613</v>
      </c>
      <c r="N739" s="37" t="s">
        <v>1613</v>
      </c>
      <c r="O739" s="37" t="s">
        <v>1613</v>
      </c>
      <c r="P739" s="37" t="s">
        <v>1613</v>
      </c>
      <c r="Q739" s="37" t="s">
        <v>2290</v>
      </c>
    </row>
    <row r="740" spans="1:17" ht="15">
      <c r="A740">
        <v>738</v>
      </c>
      <c r="B740" s="37" t="s">
        <v>2266</v>
      </c>
      <c r="C740" s="37" t="s">
        <v>2291</v>
      </c>
      <c r="D740" s="37" t="s">
        <v>2292</v>
      </c>
      <c r="E740" s="37">
        <v>3</v>
      </c>
      <c r="F740" s="37" t="s">
        <v>1613</v>
      </c>
      <c r="G740" s="37" t="s">
        <v>1613</v>
      </c>
      <c r="H740" s="37" t="s">
        <v>1613</v>
      </c>
      <c r="I740" s="37" t="s">
        <v>1613</v>
      </c>
      <c r="J740" s="37" t="s">
        <v>1613</v>
      </c>
      <c r="K740" s="37" t="s">
        <v>1613</v>
      </c>
      <c r="L740" s="37" t="s">
        <v>1613</v>
      </c>
      <c r="M740" s="37" t="s">
        <v>1613</v>
      </c>
      <c r="N740" s="37" t="s">
        <v>1613</v>
      </c>
      <c r="O740" s="37" t="s">
        <v>1613</v>
      </c>
      <c r="P740" s="37" t="s">
        <v>1613</v>
      </c>
      <c r="Q740" s="37" t="s">
        <v>2293</v>
      </c>
    </row>
    <row r="741" spans="1:17" ht="15">
      <c r="A741">
        <v>739</v>
      </c>
      <c r="B741" s="37" t="s">
        <v>2266</v>
      </c>
      <c r="C741" s="37" t="s">
        <v>2294</v>
      </c>
      <c r="D741" s="37" t="s">
        <v>2295</v>
      </c>
      <c r="E741" s="37">
        <v>3</v>
      </c>
      <c r="F741" s="37" t="s">
        <v>1613</v>
      </c>
      <c r="G741" s="37" t="s">
        <v>1613</v>
      </c>
      <c r="H741" s="37" t="s">
        <v>1613</v>
      </c>
      <c r="I741" s="37" t="s">
        <v>1613</v>
      </c>
      <c r="J741" s="37" t="s">
        <v>1613</v>
      </c>
      <c r="K741" s="37" t="s">
        <v>1613</v>
      </c>
      <c r="L741" s="37" t="s">
        <v>1613</v>
      </c>
      <c r="M741" s="37" t="s">
        <v>1613</v>
      </c>
      <c r="N741" s="37" t="s">
        <v>1613</v>
      </c>
      <c r="O741" s="37" t="s">
        <v>1613</v>
      </c>
      <c r="P741" s="37" t="s">
        <v>1613</v>
      </c>
      <c r="Q741" s="37" t="s">
        <v>2296</v>
      </c>
    </row>
    <row r="742" spans="1:17" ht="15">
      <c r="A742">
        <v>740</v>
      </c>
      <c r="B742" s="37" t="s">
        <v>2266</v>
      </c>
      <c r="C742" s="37" t="s">
        <v>2297</v>
      </c>
      <c r="D742" s="37" t="s">
        <v>2298</v>
      </c>
      <c r="E742" s="37">
        <v>3</v>
      </c>
      <c r="F742" s="37" t="s">
        <v>1613</v>
      </c>
      <c r="G742" s="37" t="s">
        <v>1613</v>
      </c>
      <c r="H742" s="37" t="s">
        <v>1613</v>
      </c>
      <c r="I742" s="37" t="s">
        <v>1613</v>
      </c>
      <c r="J742" s="37" t="s">
        <v>1613</v>
      </c>
      <c r="K742" s="37" t="s">
        <v>1613</v>
      </c>
      <c r="L742" s="37" t="s">
        <v>1613</v>
      </c>
      <c r="M742" s="37" t="s">
        <v>1613</v>
      </c>
      <c r="N742" s="37" t="s">
        <v>1613</v>
      </c>
      <c r="O742" s="37" t="s">
        <v>1613</v>
      </c>
      <c r="P742" s="37" t="s">
        <v>1613</v>
      </c>
      <c r="Q742" s="37" t="s">
        <v>2299</v>
      </c>
    </row>
    <row r="743" spans="1:17" ht="15">
      <c r="A743">
        <v>741</v>
      </c>
      <c r="B743" s="37" t="s">
        <v>2266</v>
      </c>
      <c r="C743" s="37" t="s">
        <v>2300</v>
      </c>
      <c r="D743" s="37" t="s">
        <v>2301</v>
      </c>
      <c r="E743" s="37">
        <v>3</v>
      </c>
      <c r="F743" s="37" t="s">
        <v>1613</v>
      </c>
      <c r="G743" s="37" t="s">
        <v>1613</v>
      </c>
      <c r="H743" s="37" t="s">
        <v>1613</v>
      </c>
      <c r="I743" s="37" t="s">
        <v>1613</v>
      </c>
      <c r="J743" s="37" t="s">
        <v>1613</v>
      </c>
      <c r="K743" s="37" t="s">
        <v>1613</v>
      </c>
      <c r="L743" s="37" t="s">
        <v>1613</v>
      </c>
      <c r="M743" s="37" t="s">
        <v>1613</v>
      </c>
      <c r="N743" s="37" t="s">
        <v>1613</v>
      </c>
      <c r="O743" s="37" t="s">
        <v>1613</v>
      </c>
      <c r="P743" s="37" t="s">
        <v>1613</v>
      </c>
      <c r="Q743" s="37" t="s">
        <v>2302</v>
      </c>
    </row>
    <row r="744" spans="1:17" ht="15">
      <c r="A744">
        <v>742</v>
      </c>
      <c r="B744" s="37" t="s">
        <v>2266</v>
      </c>
      <c r="C744" s="37" t="s">
        <v>2303</v>
      </c>
      <c r="D744" s="37" t="s">
        <v>2304</v>
      </c>
      <c r="E744" s="37">
        <v>3</v>
      </c>
      <c r="F744" s="37" t="s">
        <v>1613</v>
      </c>
      <c r="G744" s="37" t="s">
        <v>1613</v>
      </c>
      <c r="H744" s="37" t="s">
        <v>1613</v>
      </c>
      <c r="I744" s="37" t="s">
        <v>1613</v>
      </c>
      <c r="J744" s="37" t="s">
        <v>1613</v>
      </c>
      <c r="K744" s="37" t="s">
        <v>1613</v>
      </c>
      <c r="L744" s="37" t="s">
        <v>1613</v>
      </c>
      <c r="M744" s="37" t="s">
        <v>1613</v>
      </c>
      <c r="N744" s="37" t="s">
        <v>1613</v>
      </c>
      <c r="O744" s="37" t="s">
        <v>1613</v>
      </c>
      <c r="P744" s="37" t="s">
        <v>1613</v>
      </c>
      <c r="Q744" s="37" t="s">
        <v>2305</v>
      </c>
    </row>
    <row r="745" spans="1:17" ht="15">
      <c r="A745">
        <v>743</v>
      </c>
      <c r="B745" s="37" t="s">
        <v>2266</v>
      </c>
      <c r="C745" s="37" t="s">
        <v>2306</v>
      </c>
      <c r="D745" s="37" t="s">
        <v>2307</v>
      </c>
      <c r="E745" s="37">
        <v>3</v>
      </c>
      <c r="F745" s="37" t="s">
        <v>1613</v>
      </c>
      <c r="G745" s="37" t="s">
        <v>1613</v>
      </c>
      <c r="H745" s="37" t="s">
        <v>1613</v>
      </c>
      <c r="I745" s="37" t="s">
        <v>1613</v>
      </c>
      <c r="J745" s="37" t="s">
        <v>1613</v>
      </c>
      <c r="K745" s="37" t="s">
        <v>1613</v>
      </c>
      <c r="L745" s="37" t="s">
        <v>1613</v>
      </c>
      <c r="M745" s="37" t="s">
        <v>1613</v>
      </c>
      <c r="N745" s="37" t="s">
        <v>1613</v>
      </c>
      <c r="O745" s="37" t="s">
        <v>1613</v>
      </c>
      <c r="P745" s="37" t="s">
        <v>1613</v>
      </c>
      <c r="Q745" s="37" t="s">
        <v>2308</v>
      </c>
    </row>
    <row r="746" spans="1:17" ht="15">
      <c r="A746">
        <v>744</v>
      </c>
      <c r="B746" s="37" t="s">
        <v>2266</v>
      </c>
      <c r="C746" s="37" t="s">
        <v>2309</v>
      </c>
      <c r="D746" s="37" t="s">
        <v>2310</v>
      </c>
      <c r="E746" s="37">
        <v>3</v>
      </c>
      <c r="F746" s="37" t="s">
        <v>1613</v>
      </c>
      <c r="G746" s="37" t="s">
        <v>1613</v>
      </c>
      <c r="H746" s="37" t="s">
        <v>1613</v>
      </c>
      <c r="I746" s="37" t="s">
        <v>1613</v>
      </c>
      <c r="J746" s="37" t="s">
        <v>1613</v>
      </c>
      <c r="K746" s="37" t="s">
        <v>1613</v>
      </c>
      <c r="L746" s="37" t="s">
        <v>1613</v>
      </c>
      <c r="M746" s="37" t="s">
        <v>1613</v>
      </c>
      <c r="N746" s="37" t="s">
        <v>1613</v>
      </c>
      <c r="O746" s="37" t="s">
        <v>1613</v>
      </c>
      <c r="P746" s="37" t="s">
        <v>1613</v>
      </c>
      <c r="Q746" s="37" t="s">
        <v>2311</v>
      </c>
    </row>
    <row r="747" spans="1:17" ht="15">
      <c r="A747">
        <v>745</v>
      </c>
      <c r="B747" s="37" t="s">
        <v>2312</v>
      </c>
      <c r="C747" s="37" t="s">
        <v>2313</v>
      </c>
      <c r="D747" s="37" t="s">
        <v>2314</v>
      </c>
      <c r="E747" s="37">
        <v>3</v>
      </c>
      <c r="F747" s="37" t="s">
        <v>1613</v>
      </c>
      <c r="G747" s="37" t="s">
        <v>1613</v>
      </c>
      <c r="H747" s="37" t="s">
        <v>1613</v>
      </c>
      <c r="I747" s="37" t="s">
        <v>1613</v>
      </c>
      <c r="J747" s="37" t="s">
        <v>1613</v>
      </c>
      <c r="K747" s="37" t="s">
        <v>1613</v>
      </c>
      <c r="L747" s="37" t="s">
        <v>1613</v>
      </c>
      <c r="M747" s="37" t="s">
        <v>1613</v>
      </c>
      <c r="N747" s="37" t="s">
        <v>1613</v>
      </c>
      <c r="O747" s="37" t="s">
        <v>1613</v>
      </c>
      <c r="P747" s="37" t="s">
        <v>1613</v>
      </c>
      <c r="Q747" s="37" t="s">
        <v>2315</v>
      </c>
    </row>
    <row r="748" spans="1:17" ht="15">
      <c r="A748">
        <v>746</v>
      </c>
      <c r="B748" s="37" t="s">
        <v>2312</v>
      </c>
      <c r="C748" s="37" t="s">
        <v>2316</v>
      </c>
      <c r="D748" s="37" t="s">
        <v>2317</v>
      </c>
      <c r="E748" s="37">
        <v>3</v>
      </c>
      <c r="F748" s="37" t="s">
        <v>1613</v>
      </c>
      <c r="G748" s="37" t="s">
        <v>1613</v>
      </c>
      <c r="H748" s="37" t="s">
        <v>1613</v>
      </c>
      <c r="I748" s="37" t="s">
        <v>1613</v>
      </c>
      <c r="J748" s="37" t="s">
        <v>1613</v>
      </c>
      <c r="K748" s="37" t="s">
        <v>1613</v>
      </c>
      <c r="L748" s="37" t="s">
        <v>1613</v>
      </c>
      <c r="M748" s="37" t="s">
        <v>1613</v>
      </c>
      <c r="N748" s="37" t="s">
        <v>1613</v>
      </c>
      <c r="O748" s="37" t="s">
        <v>1613</v>
      </c>
      <c r="P748" s="37" t="s">
        <v>1613</v>
      </c>
      <c r="Q748" s="37" t="s">
        <v>2318</v>
      </c>
    </row>
    <row r="749" spans="1:17" ht="15">
      <c r="A749">
        <v>747</v>
      </c>
      <c r="B749" s="37" t="s">
        <v>2312</v>
      </c>
      <c r="C749" s="37" t="s">
        <v>2319</v>
      </c>
      <c r="D749" s="37" t="s">
        <v>2320</v>
      </c>
      <c r="E749" s="37">
        <v>3</v>
      </c>
      <c r="F749" s="37" t="s">
        <v>1613</v>
      </c>
      <c r="G749" s="37" t="s">
        <v>1613</v>
      </c>
      <c r="H749" s="37" t="s">
        <v>1613</v>
      </c>
      <c r="I749" s="37" t="s">
        <v>1613</v>
      </c>
      <c r="J749" s="37" t="s">
        <v>1613</v>
      </c>
      <c r="K749" s="37" t="s">
        <v>1613</v>
      </c>
      <c r="L749" s="37" t="s">
        <v>1613</v>
      </c>
      <c r="M749" s="37" t="s">
        <v>1613</v>
      </c>
      <c r="N749" s="37" t="s">
        <v>1613</v>
      </c>
      <c r="O749" s="37" t="s">
        <v>1613</v>
      </c>
      <c r="P749" s="37" t="s">
        <v>1613</v>
      </c>
      <c r="Q749" s="37" t="s">
        <v>2321</v>
      </c>
    </row>
    <row r="750" spans="1:17" ht="15">
      <c r="A750">
        <v>748</v>
      </c>
      <c r="B750" s="37" t="s">
        <v>2312</v>
      </c>
      <c r="C750" s="37" t="s">
        <v>2322</v>
      </c>
      <c r="D750" s="37" t="s">
        <v>2323</v>
      </c>
      <c r="E750" s="37">
        <v>3</v>
      </c>
      <c r="F750" s="37" t="s">
        <v>1613</v>
      </c>
      <c r="G750" s="37" t="s">
        <v>1613</v>
      </c>
      <c r="H750" s="37" t="s">
        <v>1613</v>
      </c>
      <c r="I750" s="37" t="s">
        <v>1613</v>
      </c>
      <c r="J750" s="37" t="s">
        <v>1613</v>
      </c>
      <c r="K750" s="37" t="s">
        <v>1613</v>
      </c>
      <c r="L750" s="37" t="s">
        <v>1613</v>
      </c>
      <c r="M750" s="37" t="s">
        <v>1613</v>
      </c>
      <c r="N750" s="37" t="s">
        <v>1613</v>
      </c>
      <c r="O750" s="37" t="s">
        <v>1613</v>
      </c>
      <c r="P750" s="37" t="s">
        <v>1613</v>
      </c>
      <c r="Q750" s="37" t="s">
        <v>2324</v>
      </c>
    </row>
    <row r="751" spans="1:17" ht="15">
      <c r="A751">
        <v>749</v>
      </c>
      <c r="B751" s="37" t="s">
        <v>2312</v>
      </c>
      <c r="C751" s="37" t="s">
        <v>2325</v>
      </c>
      <c r="D751" s="37" t="s">
        <v>2326</v>
      </c>
      <c r="E751" s="37">
        <v>3</v>
      </c>
      <c r="F751" s="37" t="s">
        <v>1613</v>
      </c>
      <c r="G751" s="37" t="s">
        <v>1613</v>
      </c>
      <c r="H751" s="37" t="s">
        <v>1613</v>
      </c>
      <c r="I751" s="37" t="s">
        <v>1613</v>
      </c>
      <c r="J751" s="37" t="s">
        <v>1613</v>
      </c>
      <c r="K751" s="37" t="s">
        <v>1613</v>
      </c>
      <c r="L751" s="37" t="s">
        <v>1613</v>
      </c>
      <c r="M751" s="37" t="s">
        <v>1613</v>
      </c>
      <c r="N751" s="37" t="s">
        <v>1613</v>
      </c>
      <c r="O751" s="37" t="s">
        <v>1613</v>
      </c>
      <c r="P751" s="37" t="s">
        <v>1613</v>
      </c>
      <c r="Q751" s="37" t="s">
        <v>2327</v>
      </c>
    </row>
    <row r="752" spans="1:17" ht="15">
      <c r="A752">
        <v>750</v>
      </c>
      <c r="B752" s="37" t="s">
        <v>2312</v>
      </c>
      <c r="C752" s="37" t="s">
        <v>2328</v>
      </c>
      <c r="D752" s="37" t="s">
        <v>2329</v>
      </c>
      <c r="E752" s="37">
        <v>3</v>
      </c>
      <c r="F752" s="37" t="s">
        <v>1613</v>
      </c>
      <c r="G752" s="37" t="s">
        <v>1613</v>
      </c>
      <c r="H752" s="37" t="s">
        <v>1613</v>
      </c>
      <c r="I752" s="37" t="s">
        <v>1613</v>
      </c>
      <c r="J752" s="37" t="s">
        <v>1613</v>
      </c>
      <c r="K752" s="37" t="s">
        <v>1613</v>
      </c>
      <c r="L752" s="37" t="s">
        <v>1613</v>
      </c>
      <c r="M752" s="37" t="s">
        <v>1613</v>
      </c>
      <c r="N752" s="37" t="s">
        <v>1613</v>
      </c>
      <c r="O752" s="37" t="s">
        <v>1613</v>
      </c>
      <c r="P752" s="37" t="s">
        <v>1613</v>
      </c>
      <c r="Q752" s="37" t="s">
        <v>2330</v>
      </c>
    </row>
    <row r="753" spans="1:17" ht="15">
      <c r="A753">
        <v>751</v>
      </c>
      <c r="B753" s="37" t="s">
        <v>2312</v>
      </c>
      <c r="C753" s="37" t="s">
        <v>2331</v>
      </c>
      <c r="D753" s="37" t="s">
        <v>2332</v>
      </c>
      <c r="E753" s="37">
        <v>3</v>
      </c>
      <c r="F753" s="37" t="s">
        <v>1613</v>
      </c>
      <c r="G753" s="37" t="s">
        <v>1613</v>
      </c>
      <c r="H753" s="37" t="s">
        <v>1613</v>
      </c>
      <c r="I753" s="37" t="s">
        <v>1613</v>
      </c>
      <c r="J753" s="37" t="s">
        <v>1613</v>
      </c>
      <c r="K753" s="37" t="s">
        <v>1613</v>
      </c>
      <c r="L753" s="37" t="s">
        <v>1613</v>
      </c>
      <c r="M753" s="37" t="s">
        <v>1613</v>
      </c>
      <c r="N753" s="37" t="s">
        <v>1613</v>
      </c>
      <c r="O753" s="37" t="s">
        <v>1613</v>
      </c>
      <c r="P753" s="37" t="s">
        <v>1613</v>
      </c>
      <c r="Q753" s="37" t="s">
        <v>2333</v>
      </c>
    </row>
    <row r="754" spans="1:17" ht="15">
      <c r="A754">
        <v>752</v>
      </c>
      <c r="B754" s="37" t="s">
        <v>2312</v>
      </c>
      <c r="C754" s="37" t="s">
        <v>2334</v>
      </c>
      <c r="D754" s="37" t="s">
        <v>2335</v>
      </c>
      <c r="E754" s="37">
        <v>3</v>
      </c>
      <c r="F754" s="37" t="s">
        <v>1613</v>
      </c>
      <c r="G754" s="37" t="s">
        <v>1613</v>
      </c>
      <c r="H754" s="37" t="s">
        <v>1613</v>
      </c>
      <c r="I754" s="37" t="s">
        <v>1613</v>
      </c>
      <c r="J754" s="37" t="s">
        <v>1613</v>
      </c>
      <c r="K754" s="37" t="s">
        <v>1613</v>
      </c>
      <c r="L754" s="37" t="s">
        <v>1613</v>
      </c>
      <c r="M754" s="37" t="s">
        <v>1613</v>
      </c>
      <c r="N754" s="37" t="s">
        <v>1613</v>
      </c>
      <c r="O754" s="37" t="s">
        <v>1613</v>
      </c>
      <c r="P754" s="37" t="s">
        <v>1613</v>
      </c>
      <c r="Q754" s="37" t="s">
        <v>2336</v>
      </c>
    </row>
    <row r="755" spans="1:17" ht="15">
      <c r="A755">
        <v>753</v>
      </c>
      <c r="B755" s="37" t="s">
        <v>2312</v>
      </c>
      <c r="C755" s="37" t="s">
        <v>2337</v>
      </c>
      <c r="D755" s="37" t="s">
        <v>2338</v>
      </c>
      <c r="E755" s="37">
        <v>3</v>
      </c>
      <c r="F755" s="37" t="s">
        <v>1613</v>
      </c>
      <c r="G755" s="37" t="s">
        <v>1613</v>
      </c>
      <c r="H755" s="37" t="s">
        <v>1613</v>
      </c>
      <c r="I755" s="37" t="s">
        <v>1613</v>
      </c>
      <c r="J755" s="37" t="s">
        <v>1613</v>
      </c>
      <c r="K755" s="37" t="s">
        <v>1613</v>
      </c>
      <c r="L755" s="37" t="s">
        <v>1613</v>
      </c>
      <c r="M755" s="37" t="s">
        <v>1613</v>
      </c>
      <c r="N755" s="37" t="s">
        <v>1613</v>
      </c>
      <c r="O755" s="37" t="s">
        <v>1613</v>
      </c>
      <c r="P755" s="37" t="s">
        <v>1613</v>
      </c>
      <c r="Q755" s="37" t="s">
        <v>680</v>
      </c>
    </row>
    <row r="756" spans="1:17" ht="15">
      <c r="A756">
        <v>754</v>
      </c>
      <c r="B756" s="37" t="s">
        <v>2312</v>
      </c>
      <c r="C756" s="37" t="s">
        <v>2339</v>
      </c>
      <c r="D756" s="37" t="s">
        <v>318</v>
      </c>
      <c r="E756" s="37">
        <v>3</v>
      </c>
      <c r="F756" s="37" t="s">
        <v>1613</v>
      </c>
      <c r="G756" s="37" t="s">
        <v>1613</v>
      </c>
      <c r="H756" s="37" t="s">
        <v>1613</v>
      </c>
      <c r="I756" s="37" t="s">
        <v>1613</v>
      </c>
      <c r="J756" s="37" t="s">
        <v>1613</v>
      </c>
      <c r="K756" s="37" t="s">
        <v>1613</v>
      </c>
      <c r="L756" s="37" t="s">
        <v>1613</v>
      </c>
      <c r="M756" s="37" t="s">
        <v>1613</v>
      </c>
      <c r="N756" s="37" t="s">
        <v>1613</v>
      </c>
      <c r="O756" s="37" t="s">
        <v>1613</v>
      </c>
      <c r="P756" s="37" t="s">
        <v>1613</v>
      </c>
      <c r="Q756" s="37" t="s">
        <v>680</v>
      </c>
    </row>
    <row r="757" spans="1:17" ht="15">
      <c r="A757">
        <v>755</v>
      </c>
      <c r="B757" s="37" t="s">
        <v>2340</v>
      </c>
      <c r="C757" s="37" t="s">
        <v>2341</v>
      </c>
      <c r="D757" s="37" t="s">
        <v>2342</v>
      </c>
      <c r="E757" s="37">
        <v>3</v>
      </c>
      <c r="F757" s="37" t="s">
        <v>1613</v>
      </c>
      <c r="G757" s="37" t="s">
        <v>1613</v>
      </c>
      <c r="H757" s="37" t="s">
        <v>1613</v>
      </c>
      <c r="I757" s="37" t="s">
        <v>1613</v>
      </c>
      <c r="J757" s="37" t="s">
        <v>1613</v>
      </c>
      <c r="K757" s="37" t="s">
        <v>1613</v>
      </c>
      <c r="L757" s="37" t="s">
        <v>1613</v>
      </c>
      <c r="M757" s="37" t="s">
        <v>1613</v>
      </c>
      <c r="N757" s="37" t="s">
        <v>1613</v>
      </c>
      <c r="O757" s="37" t="s">
        <v>1613</v>
      </c>
      <c r="P757" s="37" t="s">
        <v>1613</v>
      </c>
      <c r="Q757" s="37" t="s">
        <v>2343</v>
      </c>
    </row>
    <row r="758" spans="1:17" ht="15">
      <c r="A758">
        <v>756</v>
      </c>
      <c r="B758" s="37" t="s">
        <v>2340</v>
      </c>
      <c r="C758" s="37" t="s">
        <v>2344</v>
      </c>
      <c r="D758" s="37" t="s">
        <v>2345</v>
      </c>
      <c r="E758" s="37">
        <v>3</v>
      </c>
      <c r="F758" s="37" t="s">
        <v>1613</v>
      </c>
      <c r="G758" s="37" t="s">
        <v>1613</v>
      </c>
      <c r="H758" s="37" t="s">
        <v>1613</v>
      </c>
      <c r="I758" s="37" t="s">
        <v>1613</v>
      </c>
      <c r="J758" s="37" t="s">
        <v>1613</v>
      </c>
      <c r="K758" s="37" t="s">
        <v>1613</v>
      </c>
      <c r="L758" s="37" t="s">
        <v>1613</v>
      </c>
      <c r="M758" s="37" t="s">
        <v>1613</v>
      </c>
      <c r="N758" s="37" t="s">
        <v>1613</v>
      </c>
      <c r="O758" s="37" t="s">
        <v>1613</v>
      </c>
      <c r="P758" s="37" t="s">
        <v>1613</v>
      </c>
      <c r="Q758" s="37" t="s">
        <v>2346</v>
      </c>
    </row>
    <row r="759" spans="1:17" ht="15">
      <c r="A759">
        <v>757</v>
      </c>
      <c r="B759" s="37" t="s">
        <v>2340</v>
      </c>
      <c r="C759" s="37" t="s">
        <v>2347</v>
      </c>
      <c r="D759" s="37" t="s">
        <v>2348</v>
      </c>
      <c r="E759" s="37">
        <v>3</v>
      </c>
      <c r="F759" s="37" t="s">
        <v>1613</v>
      </c>
      <c r="G759" s="37" t="s">
        <v>1613</v>
      </c>
      <c r="H759" s="37" t="s">
        <v>1613</v>
      </c>
      <c r="I759" s="37" t="s">
        <v>1613</v>
      </c>
      <c r="J759" s="37" t="s">
        <v>1613</v>
      </c>
      <c r="K759" s="37" t="s">
        <v>1613</v>
      </c>
      <c r="L759" s="37" t="s">
        <v>1613</v>
      </c>
      <c r="M759" s="37" t="s">
        <v>1613</v>
      </c>
      <c r="N759" s="37" t="s">
        <v>1613</v>
      </c>
      <c r="O759" s="37" t="s">
        <v>1613</v>
      </c>
      <c r="P759" s="37" t="s">
        <v>1613</v>
      </c>
      <c r="Q759" s="37" t="s">
        <v>2349</v>
      </c>
    </row>
    <row r="760" spans="1:17" ht="15">
      <c r="A760">
        <v>758</v>
      </c>
      <c r="B760" s="37" t="s">
        <v>2340</v>
      </c>
      <c r="C760" s="37" t="s">
        <v>2350</v>
      </c>
      <c r="D760" s="37" t="s">
        <v>2351</v>
      </c>
      <c r="E760" s="37">
        <v>3</v>
      </c>
      <c r="F760" s="37" t="s">
        <v>1613</v>
      </c>
      <c r="G760" s="37" t="s">
        <v>1613</v>
      </c>
      <c r="H760" s="37" t="s">
        <v>1613</v>
      </c>
      <c r="I760" s="37" t="s">
        <v>1613</v>
      </c>
      <c r="J760" s="37" t="s">
        <v>1613</v>
      </c>
      <c r="K760" s="37" t="s">
        <v>1613</v>
      </c>
      <c r="L760" s="37" t="s">
        <v>1613</v>
      </c>
      <c r="M760" s="37" t="s">
        <v>1613</v>
      </c>
      <c r="N760" s="37" t="s">
        <v>1613</v>
      </c>
      <c r="O760" s="37" t="s">
        <v>1613</v>
      </c>
      <c r="P760" s="37" t="s">
        <v>1613</v>
      </c>
      <c r="Q760" s="37" t="s">
        <v>2352</v>
      </c>
    </row>
    <row r="761" spans="1:17" ht="15">
      <c r="A761">
        <v>759</v>
      </c>
      <c r="B761" s="37" t="s">
        <v>2340</v>
      </c>
      <c r="C761" s="37" t="s">
        <v>2353</v>
      </c>
      <c r="D761" s="37" t="s">
        <v>2354</v>
      </c>
      <c r="E761" s="37">
        <v>3</v>
      </c>
      <c r="F761" s="37" t="s">
        <v>1613</v>
      </c>
      <c r="G761" s="37" t="s">
        <v>1613</v>
      </c>
      <c r="H761" s="37" t="s">
        <v>1613</v>
      </c>
      <c r="I761" s="37" t="s">
        <v>1613</v>
      </c>
      <c r="J761" s="37" t="s">
        <v>1613</v>
      </c>
      <c r="K761" s="37" t="s">
        <v>1613</v>
      </c>
      <c r="L761" s="37" t="s">
        <v>1613</v>
      </c>
      <c r="M761" s="37" t="s">
        <v>1613</v>
      </c>
      <c r="N761" s="37" t="s">
        <v>1613</v>
      </c>
      <c r="O761" s="37" t="s">
        <v>1613</v>
      </c>
      <c r="P761" s="37" t="s">
        <v>1613</v>
      </c>
      <c r="Q761" s="37" t="s">
        <v>2355</v>
      </c>
    </row>
    <row r="762" spans="1:17" ht="15">
      <c r="A762">
        <v>760</v>
      </c>
      <c r="B762" s="37" t="s">
        <v>2340</v>
      </c>
      <c r="C762" s="37" t="s">
        <v>2356</v>
      </c>
      <c r="D762" s="37" t="s">
        <v>2357</v>
      </c>
      <c r="E762" s="37">
        <v>3</v>
      </c>
      <c r="F762" s="37" t="s">
        <v>1613</v>
      </c>
      <c r="G762" s="37" t="s">
        <v>1613</v>
      </c>
      <c r="H762" s="37" t="s">
        <v>1613</v>
      </c>
      <c r="I762" s="37" t="s">
        <v>1613</v>
      </c>
      <c r="J762" s="37" t="s">
        <v>1613</v>
      </c>
      <c r="K762" s="37" t="s">
        <v>1613</v>
      </c>
      <c r="L762" s="37" t="s">
        <v>1613</v>
      </c>
      <c r="M762" s="37" t="s">
        <v>1613</v>
      </c>
      <c r="N762" s="37" t="s">
        <v>1613</v>
      </c>
      <c r="O762" s="37" t="s">
        <v>1613</v>
      </c>
      <c r="P762" s="37" t="s">
        <v>1613</v>
      </c>
      <c r="Q762" s="37" t="s">
        <v>2358</v>
      </c>
    </row>
    <row r="763" spans="1:17" ht="15">
      <c r="A763">
        <v>761</v>
      </c>
      <c r="B763" s="37" t="s">
        <v>2340</v>
      </c>
      <c r="C763" s="37" t="s">
        <v>2359</v>
      </c>
      <c r="D763" s="37" t="s">
        <v>2360</v>
      </c>
      <c r="E763" s="37">
        <v>3</v>
      </c>
      <c r="F763" s="37" t="s">
        <v>1613</v>
      </c>
      <c r="G763" s="37" t="s">
        <v>1613</v>
      </c>
      <c r="H763" s="37" t="s">
        <v>1613</v>
      </c>
      <c r="I763" s="37" t="s">
        <v>1613</v>
      </c>
      <c r="J763" s="37" t="s">
        <v>1613</v>
      </c>
      <c r="K763" s="37" t="s">
        <v>1613</v>
      </c>
      <c r="L763" s="37" t="s">
        <v>1613</v>
      </c>
      <c r="M763" s="37" t="s">
        <v>1613</v>
      </c>
      <c r="N763" s="37" t="s">
        <v>1613</v>
      </c>
      <c r="O763" s="37" t="s">
        <v>1613</v>
      </c>
      <c r="P763" s="37" t="s">
        <v>1613</v>
      </c>
      <c r="Q763" s="37" t="s">
        <v>2361</v>
      </c>
    </row>
    <row r="764" spans="1:17" ht="15">
      <c r="A764">
        <v>762</v>
      </c>
      <c r="B764" s="37" t="s">
        <v>2340</v>
      </c>
      <c r="C764" s="37" t="s">
        <v>2362</v>
      </c>
      <c r="D764" s="37" t="s">
        <v>2363</v>
      </c>
      <c r="E764" s="37">
        <v>3</v>
      </c>
      <c r="F764" s="37" t="s">
        <v>1613</v>
      </c>
      <c r="G764" s="37" t="s">
        <v>1613</v>
      </c>
      <c r="H764" s="37" t="s">
        <v>1613</v>
      </c>
      <c r="I764" s="37" t="s">
        <v>1613</v>
      </c>
      <c r="J764" s="37" t="s">
        <v>1613</v>
      </c>
      <c r="K764" s="37" t="s">
        <v>1613</v>
      </c>
      <c r="L764" s="37" t="s">
        <v>1613</v>
      </c>
      <c r="M764" s="37" t="s">
        <v>1613</v>
      </c>
      <c r="N764" s="37" t="s">
        <v>1613</v>
      </c>
      <c r="O764" s="37" t="s">
        <v>1613</v>
      </c>
      <c r="P764" s="37" t="s">
        <v>1613</v>
      </c>
      <c r="Q764" s="37" t="s">
        <v>2364</v>
      </c>
    </row>
    <row r="765" spans="1:17" ht="15">
      <c r="A765">
        <v>763</v>
      </c>
      <c r="B765" s="37" t="s">
        <v>2340</v>
      </c>
      <c r="C765" s="37" t="s">
        <v>2365</v>
      </c>
      <c r="D765" s="37" t="s">
        <v>2366</v>
      </c>
      <c r="E765" s="37">
        <v>3</v>
      </c>
      <c r="F765" s="37" t="s">
        <v>1613</v>
      </c>
      <c r="G765" s="37" t="s">
        <v>1613</v>
      </c>
      <c r="H765" s="37" t="s">
        <v>1613</v>
      </c>
      <c r="I765" s="37" t="s">
        <v>1613</v>
      </c>
      <c r="J765" s="37" t="s">
        <v>1613</v>
      </c>
      <c r="K765" s="37" t="s">
        <v>1613</v>
      </c>
      <c r="L765" s="37" t="s">
        <v>1613</v>
      </c>
      <c r="M765" s="37" t="s">
        <v>1613</v>
      </c>
      <c r="N765" s="37" t="s">
        <v>1613</v>
      </c>
      <c r="O765" s="37" t="s">
        <v>1613</v>
      </c>
      <c r="P765" s="37" t="s">
        <v>1613</v>
      </c>
      <c r="Q765" s="37" t="s">
        <v>2367</v>
      </c>
    </row>
    <row r="766" spans="1:17" ht="15">
      <c r="A766">
        <v>764</v>
      </c>
      <c r="B766" s="37" t="s">
        <v>2340</v>
      </c>
      <c r="C766" s="37" t="s">
        <v>2368</v>
      </c>
      <c r="D766" s="37" t="s">
        <v>2369</v>
      </c>
      <c r="E766" s="37">
        <v>3</v>
      </c>
      <c r="F766" s="37" t="s">
        <v>1613</v>
      </c>
      <c r="G766" s="37" t="s">
        <v>1613</v>
      </c>
      <c r="H766" s="37" t="s">
        <v>1613</v>
      </c>
      <c r="I766" s="37" t="s">
        <v>1613</v>
      </c>
      <c r="J766" s="37" t="s">
        <v>1613</v>
      </c>
      <c r="K766" s="37" t="s">
        <v>1613</v>
      </c>
      <c r="L766" s="37" t="s">
        <v>1613</v>
      </c>
      <c r="M766" s="37" t="s">
        <v>1613</v>
      </c>
      <c r="N766" s="37" t="s">
        <v>1613</v>
      </c>
      <c r="O766" s="37" t="s">
        <v>1613</v>
      </c>
      <c r="P766" s="37" t="s">
        <v>1613</v>
      </c>
      <c r="Q766" s="37" t="s">
        <v>2370</v>
      </c>
    </row>
    <row r="767" spans="1:17" ht="15">
      <c r="A767">
        <v>765</v>
      </c>
      <c r="B767" s="37" t="s">
        <v>2340</v>
      </c>
      <c r="C767" s="37" t="s">
        <v>2371</v>
      </c>
      <c r="D767" s="37" t="s">
        <v>2372</v>
      </c>
      <c r="E767" s="37">
        <v>3</v>
      </c>
      <c r="F767" s="37" t="s">
        <v>1613</v>
      </c>
      <c r="G767" s="37" t="s">
        <v>1613</v>
      </c>
      <c r="H767" s="37" t="s">
        <v>1613</v>
      </c>
      <c r="I767" s="37" t="s">
        <v>1613</v>
      </c>
      <c r="J767" s="37" t="s">
        <v>1613</v>
      </c>
      <c r="K767" s="37" t="s">
        <v>1613</v>
      </c>
      <c r="L767" s="37" t="s">
        <v>1613</v>
      </c>
      <c r="M767" s="37" t="s">
        <v>1613</v>
      </c>
      <c r="N767" s="37" t="s">
        <v>1613</v>
      </c>
      <c r="O767" s="37" t="s">
        <v>1613</v>
      </c>
      <c r="P767" s="37" t="s">
        <v>1613</v>
      </c>
      <c r="Q767" s="37" t="s">
        <v>2373</v>
      </c>
    </row>
    <row r="768" spans="1:17" ht="15">
      <c r="A768">
        <v>766</v>
      </c>
      <c r="B768" s="37" t="s">
        <v>2340</v>
      </c>
      <c r="C768" s="37" t="s">
        <v>2374</v>
      </c>
      <c r="D768" s="37" t="s">
        <v>2375</v>
      </c>
      <c r="E768" s="37">
        <v>3</v>
      </c>
      <c r="F768" s="37" t="s">
        <v>1613</v>
      </c>
      <c r="G768" s="37" t="s">
        <v>1613</v>
      </c>
      <c r="H768" s="37" t="s">
        <v>1613</v>
      </c>
      <c r="I768" s="37" t="s">
        <v>1613</v>
      </c>
      <c r="J768" s="37" t="s">
        <v>1613</v>
      </c>
      <c r="K768" s="37" t="s">
        <v>1613</v>
      </c>
      <c r="L768" s="37" t="s">
        <v>1613</v>
      </c>
      <c r="M768" s="37" t="s">
        <v>1613</v>
      </c>
      <c r="N768" s="37" t="s">
        <v>1613</v>
      </c>
      <c r="O768" s="37" t="s">
        <v>1613</v>
      </c>
      <c r="P768" s="37" t="s">
        <v>1613</v>
      </c>
      <c r="Q768" s="37" t="s">
        <v>2376</v>
      </c>
    </row>
    <row r="769" spans="1:17" ht="15">
      <c r="A769">
        <v>767</v>
      </c>
      <c r="B769" s="37" t="s">
        <v>2340</v>
      </c>
      <c r="C769" s="37" t="s">
        <v>2377</v>
      </c>
      <c r="D769" s="37" t="s">
        <v>2378</v>
      </c>
      <c r="E769" s="37">
        <v>3</v>
      </c>
      <c r="F769" s="37" t="s">
        <v>1613</v>
      </c>
      <c r="G769" s="37" t="s">
        <v>1613</v>
      </c>
      <c r="H769" s="37" t="s">
        <v>1613</v>
      </c>
      <c r="I769" s="37" t="s">
        <v>1613</v>
      </c>
      <c r="J769" s="37" t="s">
        <v>1613</v>
      </c>
      <c r="K769" s="37" t="s">
        <v>1613</v>
      </c>
      <c r="L769" s="37" t="s">
        <v>1613</v>
      </c>
      <c r="M769" s="37" t="s">
        <v>1613</v>
      </c>
      <c r="N769" s="37" t="s">
        <v>1613</v>
      </c>
      <c r="O769" s="37" t="s">
        <v>1613</v>
      </c>
      <c r="P769" s="37" t="s">
        <v>1613</v>
      </c>
      <c r="Q769" s="37" t="s">
        <v>2379</v>
      </c>
    </row>
    <row r="770" spans="1:17" ht="15">
      <c r="A770">
        <v>768</v>
      </c>
      <c r="B770" s="37" t="s">
        <v>2340</v>
      </c>
      <c r="C770" s="37" t="s">
        <v>2380</v>
      </c>
      <c r="D770" s="37" t="s">
        <v>2381</v>
      </c>
      <c r="E770" s="37">
        <v>3</v>
      </c>
      <c r="F770" s="37" t="s">
        <v>1613</v>
      </c>
      <c r="G770" s="37" t="s">
        <v>1613</v>
      </c>
      <c r="H770" s="37" t="s">
        <v>1613</v>
      </c>
      <c r="I770" s="37" t="s">
        <v>1613</v>
      </c>
      <c r="J770" s="37" t="s">
        <v>1613</v>
      </c>
      <c r="K770" s="37" t="s">
        <v>1613</v>
      </c>
      <c r="L770" s="37" t="s">
        <v>1613</v>
      </c>
      <c r="M770" s="37" t="s">
        <v>1613</v>
      </c>
      <c r="N770" s="37" t="s">
        <v>1613</v>
      </c>
      <c r="O770" s="37" t="s">
        <v>1613</v>
      </c>
      <c r="P770" s="37" t="s">
        <v>1613</v>
      </c>
      <c r="Q770" s="37" t="s">
        <v>2382</v>
      </c>
    </row>
    <row r="771" spans="1:17" ht="15">
      <c r="A771">
        <v>769</v>
      </c>
      <c r="B771" s="37" t="s">
        <v>2340</v>
      </c>
      <c r="C771" s="37" t="s">
        <v>2383</v>
      </c>
      <c r="D771" s="37" t="s">
        <v>2384</v>
      </c>
      <c r="E771" s="37">
        <v>3</v>
      </c>
      <c r="F771" s="37" t="s">
        <v>1613</v>
      </c>
      <c r="G771" s="37" t="s">
        <v>1613</v>
      </c>
      <c r="H771" s="37" t="s">
        <v>1613</v>
      </c>
      <c r="I771" s="37" t="s">
        <v>1613</v>
      </c>
      <c r="J771" s="37" t="s">
        <v>1613</v>
      </c>
      <c r="K771" s="37" t="s">
        <v>1613</v>
      </c>
      <c r="L771" s="37" t="s">
        <v>1613</v>
      </c>
      <c r="M771" s="37" t="s">
        <v>1613</v>
      </c>
      <c r="N771" s="37" t="s">
        <v>1613</v>
      </c>
      <c r="O771" s="37" t="s">
        <v>1613</v>
      </c>
      <c r="P771" s="37" t="s">
        <v>1613</v>
      </c>
      <c r="Q771" s="37" t="s">
        <v>2385</v>
      </c>
    </row>
    <row r="772" spans="1:17" ht="15">
      <c r="A772">
        <v>770</v>
      </c>
      <c r="B772" s="37" t="s">
        <v>2340</v>
      </c>
      <c r="C772" s="37" t="s">
        <v>2386</v>
      </c>
      <c r="D772" s="37" t="s">
        <v>2387</v>
      </c>
      <c r="E772" s="37">
        <v>3</v>
      </c>
      <c r="F772" s="37" t="s">
        <v>1613</v>
      </c>
      <c r="G772" s="37" t="s">
        <v>1613</v>
      </c>
      <c r="H772" s="37" t="s">
        <v>1613</v>
      </c>
      <c r="I772" s="37" t="s">
        <v>1613</v>
      </c>
      <c r="J772" s="37" t="s">
        <v>1613</v>
      </c>
      <c r="K772" s="37" t="s">
        <v>1613</v>
      </c>
      <c r="L772" s="37" t="s">
        <v>1613</v>
      </c>
      <c r="M772" s="37" t="s">
        <v>1613</v>
      </c>
      <c r="N772" s="37" t="s">
        <v>1613</v>
      </c>
      <c r="O772" s="37" t="s">
        <v>1613</v>
      </c>
      <c r="P772" s="37" t="s">
        <v>1613</v>
      </c>
      <c r="Q772" s="37" t="s">
        <v>2388</v>
      </c>
    </row>
    <row r="773" spans="1:17" ht="15">
      <c r="A773">
        <v>771</v>
      </c>
      <c r="B773" s="37" t="s">
        <v>2340</v>
      </c>
      <c r="C773" s="37" t="s">
        <v>2389</v>
      </c>
      <c r="D773" s="37" t="s">
        <v>2390</v>
      </c>
      <c r="E773" s="37">
        <v>3</v>
      </c>
      <c r="F773" s="37" t="s">
        <v>1613</v>
      </c>
      <c r="G773" s="37" t="s">
        <v>1613</v>
      </c>
      <c r="H773" s="37" t="s">
        <v>1613</v>
      </c>
      <c r="I773" s="37" t="s">
        <v>1613</v>
      </c>
      <c r="J773" s="37" t="s">
        <v>1613</v>
      </c>
      <c r="K773" s="37" t="s">
        <v>1613</v>
      </c>
      <c r="L773" s="37" t="s">
        <v>1613</v>
      </c>
      <c r="M773" s="37" t="s">
        <v>1613</v>
      </c>
      <c r="N773" s="37" t="s">
        <v>1613</v>
      </c>
      <c r="O773" s="37" t="s">
        <v>1613</v>
      </c>
      <c r="P773" s="37" t="s">
        <v>1613</v>
      </c>
      <c r="Q773" s="37" t="s">
        <v>2391</v>
      </c>
    </row>
    <row r="774" spans="1:17" ht="15">
      <c r="A774">
        <v>772</v>
      </c>
      <c r="B774" s="37" t="s">
        <v>2340</v>
      </c>
      <c r="C774" s="37" t="s">
        <v>2392</v>
      </c>
      <c r="D774" s="37" t="s">
        <v>2393</v>
      </c>
      <c r="E774" s="37">
        <v>3</v>
      </c>
      <c r="F774" s="37" t="s">
        <v>1613</v>
      </c>
      <c r="G774" s="37" t="s">
        <v>1613</v>
      </c>
      <c r="H774" s="37" t="s">
        <v>1613</v>
      </c>
      <c r="I774" s="37" t="s">
        <v>1613</v>
      </c>
      <c r="J774" s="37" t="s">
        <v>1613</v>
      </c>
      <c r="K774" s="37" t="s">
        <v>1613</v>
      </c>
      <c r="L774" s="37" t="s">
        <v>1613</v>
      </c>
      <c r="M774" s="37" t="s">
        <v>1613</v>
      </c>
      <c r="N774" s="37" t="s">
        <v>1613</v>
      </c>
      <c r="O774" s="37" t="s">
        <v>1613</v>
      </c>
      <c r="P774" s="37" t="s">
        <v>1613</v>
      </c>
      <c r="Q774" s="37" t="s">
        <v>2394</v>
      </c>
    </row>
    <row r="775" spans="1:17" ht="15">
      <c r="A775">
        <v>773</v>
      </c>
      <c r="B775" s="37" t="s">
        <v>2340</v>
      </c>
      <c r="C775" s="37" t="s">
        <v>2395</v>
      </c>
      <c r="D775" s="37" t="s">
        <v>2396</v>
      </c>
      <c r="E775" s="37">
        <v>3</v>
      </c>
      <c r="F775" s="37" t="s">
        <v>1613</v>
      </c>
      <c r="G775" s="37" t="s">
        <v>1613</v>
      </c>
      <c r="H775" s="37" t="s">
        <v>1613</v>
      </c>
      <c r="I775" s="37" t="s">
        <v>1613</v>
      </c>
      <c r="J775" s="37" t="s">
        <v>1613</v>
      </c>
      <c r="K775" s="37" t="s">
        <v>1613</v>
      </c>
      <c r="L775" s="37" t="s">
        <v>1613</v>
      </c>
      <c r="M775" s="37" t="s">
        <v>1613</v>
      </c>
      <c r="N775" s="37" t="s">
        <v>1613</v>
      </c>
      <c r="O775" s="37" t="s">
        <v>1613</v>
      </c>
      <c r="P775" s="37" t="s">
        <v>1613</v>
      </c>
      <c r="Q775" s="37" t="s">
        <v>2397</v>
      </c>
    </row>
    <row r="776" spans="1:17" ht="15">
      <c r="A776">
        <v>774</v>
      </c>
      <c r="B776" s="37" t="s">
        <v>2340</v>
      </c>
      <c r="C776" s="37" t="s">
        <v>2398</v>
      </c>
      <c r="D776" s="37" t="s">
        <v>2399</v>
      </c>
      <c r="E776" s="37">
        <v>3</v>
      </c>
      <c r="F776" s="37" t="s">
        <v>1613</v>
      </c>
      <c r="G776" s="37" t="s">
        <v>1613</v>
      </c>
      <c r="H776" s="37" t="s">
        <v>1613</v>
      </c>
      <c r="I776" s="37" t="s">
        <v>1613</v>
      </c>
      <c r="J776" s="37" t="s">
        <v>1613</v>
      </c>
      <c r="K776" s="37" t="s">
        <v>1613</v>
      </c>
      <c r="L776" s="37" t="s">
        <v>1613</v>
      </c>
      <c r="M776" s="37" t="s">
        <v>1613</v>
      </c>
      <c r="N776" s="37" t="s">
        <v>1613</v>
      </c>
      <c r="O776" s="37" t="s">
        <v>1613</v>
      </c>
      <c r="P776" s="37" t="s">
        <v>1613</v>
      </c>
      <c r="Q776" s="37" t="s">
        <v>2400</v>
      </c>
    </row>
    <row r="777" spans="1:17" ht="15">
      <c r="A777">
        <v>775</v>
      </c>
      <c r="B777" s="37" t="s">
        <v>2340</v>
      </c>
      <c r="C777" s="37" t="s">
        <v>2401</v>
      </c>
      <c r="D777" s="37" t="s">
        <v>2402</v>
      </c>
      <c r="E777" s="37">
        <v>3</v>
      </c>
      <c r="F777" s="37" t="s">
        <v>1613</v>
      </c>
      <c r="G777" s="37" t="s">
        <v>1613</v>
      </c>
      <c r="H777" s="37" t="s">
        <v>1613</v>
      </c>
      <c r="I777" s="37" t="s">
        <v>1613</v>
      </c>
      <c r="J777" s="37" t="s">
        <v>1613</v>
      </c>
      <c r="K777" s="37" t="s">
        <v>1613</v>
      </c>
      <c r="L777" s="37" t="s">
        <v>1613</v>
      </c>
      <c r="M777" s="37" t="s">
        <v>1613</v>
      </c>
      <c r="N777" s="37" t="s">
        <v>1613</v>
      </c>
      <c r="O777" s="37" t="s">
        <v>1613</v>
      </c>
      <c r="P777" s="37" t="s">
        <v>1613</v>
      </c>
      <c r="Q777" s="37" t="s">
        <v>2403</v>
      </c>
    </row>
    <row r="778" spans="1:17" ht="15">
      <c r="A778">
        <v>776</v>
      </c>
      <c r="B778" s="37" t="s">
        <v>2340</v>
      </c>
      <c r="C778" s="37" t="s">
        <v>2404</v>
      </c>
      <c r="D778" s="37" t="s">
        <v>2405</v>
      </c>
      <c r="E778" s="37">
        <v>3</v>
      </c>
      <c r="F778" s="37" t="s">
        <v>1613</v>
      </c>
      <c r="G778" s="37" t="s">
        <v>1613</v>
      </c>
      <c r="H778" s="37" t="s">
        <v>1613</v>
      </c>
      <c r="I778" s="37" t="s">
        <v>1613</v>
      </c>
      <c r="J778" s="37" t="s">
        <v>1613</v>
      </c>
      <c r="K778" s="37" t="s">
        <v>1613</v>
      </c>
      <c r="L778" s="37" t="s">
        <v>1613</v>
      </c>
      <c r="M778" s="37" t="s">
        <v>1613</v>
      </c>
      <c r="N778" s="37" t="s">
        <v>1613</v>
      </c>
      <c r="O778" s="37" t="s">
        <v>1613</v>
      </c>
      <c r="P778" s="37" t="s">
        <v>1613</v>
      </c>
      <c r="Q778" s="37" t="s">
        <v>680</v>
      </c>
    </row>
    <row r="779" spans="1:17" ht="15">
      <c r="A779">
        <v>777</v>
      </c>
      <c r="B779" s="37" t="s">
        <v>2406</v>
      </c>
      <c r="C779" s="37" t="s">
        <v>2407</v>
      </c>
      <c r="D779" s="37" t="s">
        <v>2408</v>
      </c>
      <c r="E779" s="37">
        <v>3</v>
      </c>
      <c r="F779" s="37" t="s">
        <v>77</v>
      </c>
      <c r="G779" s="37" t="s">
        <v>77</v>
      </c>
      <c r="H779" s="37" t="s">
        <v>77</v>
      </c>
      <c r="I779" s="37" t="s">
        <v>77</v>
      </c>
      <c r="J779" s="37" t="s">
        <v>77</v>
      </c>
      <c r="K779" s="37" t="s">
        <v>77</v>
      </c>
      <c r="L779" s="37" t="s">
        <v>77</v>
      </c>
      <c r="M779" s="37" t="s">
        <v>77</v>
      </c>
      <c r="N779" s="37" t="s">
        <v>78</v>
      </c>
      <c r="O779" s="37" t="s">
        <v>77</v>
      </c>
      <c r="P779" s="37" t="s">
        <v>77</v>
      </c>
      <c r="Q779" s="37" t="s">
        <v>2409</v>
      </c>
    </row>
    <row r="780" spans="1:17" ht="15">
      <c r="A780">
        <v>778</v>
      </c>
      <c r="B780" s="37" t="s">
        <v>2406</v>
      </c>
      <c r="C780" s="37" t="s">
        <v>2410</v>
      </c>
      <c r="D780" s="37" t="s">
        <v>2411</v>
      </c>
      <c r="E780" s="37">
        <v>3</v>
      </c>
      <c r="F780" s="37" t="s">
        <v>77</v>
      </c>
      <c r="G780" s="37" t="s">
        <v>77</v>
      </c>
      <c r="H780" s="37" t="s">
        <v>77</v>
      </c>
      <c r="I780" s="37" t="s">
        <v>77</v>
      </c>
      <c r="J780" s="37" t="s">
        <v>77</v>
      </c>
      <c r="K780" s="37" t="s">
        <v>77</v>
      </c>
      <c r="L780" s="37" t="s">
        <v>77</v>
      </c>
      <c r="M780" s="37" t="s">
        <v>77</v>
      </c>
      <c r="N780" s="37" t="s">
        <v>78</v>
      </c>
      <c r="O780" s="37" t="s">
        <v>77</v>
      </c>
      <c r="P780" s="37" t="s">
        <v>77</v>
      </c>
      <c r="Q780" s="37" t="s">
        <v>2412</v>
      </c>
    </row>
    <row r="781" spans="1:17" ht="15">
      <c r="A781">
        <v>779</v>
      </c>
      <c r="B781" s="37" t="s">
        <v>2406</v>
      </c>
      <c r="C781" s="37" t="s">
        <v>2413</v>
      </c>
      <c r="D781" s="37" t="s">
        <v>2414</v>
      </c>
      <c r="E781" s="37">
        <v>3</v>
      </c>
      <c r="F781" s="37" t="s">
        <v>77</v>
      </c>
      <c r="G781" s="37" t="s">
        <v>77</v>
      </c>
      <c r="H781" s="37" t="s">
        <v>77</v>
      </c>
      <c r="I781" s="37" t="s">
        <v>77</v>
      </c>
      <c r="J781" s="37" t="s">
        <v>77</v>
      </c>
      <c r="K781" s="37" t="s">
        <v>77</v>
      </c>
      <c r="L781" s="37" t="s">
        <v>77</v>
      </c>
      <c r="M781" s="37" t="s">
        <v>77</v>
      </c>
      <c r="N781" s="37" t="s">
        <v>77</v>
      </c>
      <c r="O781" s="37" t="s">
        <v>77</v>
      </c>
      <c r="P781" s="37" t="s">
        <v>77</v>
      </c>
      <c r="Q781" s="37" t="s">
        <v>2415</v>
      </c>
    </row>
    <row r="782" spans="1:17" ht="15">
      <c r="A782">
        <v>780</v>
      </c>
      <c r="B782" s="37" t="s">
        <v>2406</v>
      </c>
      <c r="C782" s="37" t="s">
        <v>2416</v>
      </c>
      <c r="D782" s="37" t="s">
        <v>2417</v>
      </c>
      <c r="E782" s="37">
        <v>3</v>
      </c>
      <c r="F782" s="37" t="s">
        <v>77</v>
      </c>
      <c r="G782" s="37" t="s">
        <v>77</v>
      </c>
      <c r="H782" s="37" t="s">
        <v>77</v>
      </c>
      <c r="I782" s="37" t="s">
        <v>77</v>
      </c>
      <c r="J782" s="37" t="s">
        <v>77</v>
      </c>
      <c r="K782" s="37" t="s">
        <v>77</v>
      </c>
      <c r="L782" s="37" t="s">
        <v>77</v>
      </c>
      <c r="M782" s="37" t="s">
        <v>77</v>
      </c>
      <c r="N782" s="37" t="s">
        <v>77</v>
      </c>
      <c r="O782" s="37" t="s">
        <v>77</v>
      </c>
      <c r="P782" s="37" t="s">
        <v>77</v>
      </c>
      <c r="Q782" s="37" t="s">
        <v>2418</v>
      </c>
    </row>
    <row r="783" spans="1:17" ht="15">
      <c r="A783">
        <v>781</v>
      </c>
      <c r="B783" s="37" t="s">
        <v>2406</v>
      </c>
      <c r="C783" s="37" t="s">
        <v>2419</v>
      </c>
      <c r="D783" s="37" t="s">
        <v>2420</v>
      </c>
      <c r="E783" s="37">
        <v>3</v>
      </c>
      <c r="F783" s="37" t="s">
        <v>77</v>
      </c>
      <c r="G783" s="37" t="s">
        <v>77</v>
      </c>
      <c r="H783" s="37" t="s">
        <v>77</v>
      </c>
      <c r="I783" s="37" t="s">
        <v>77</v>
      </c>
      <c r="J783" s="37" t="s">
        <v>77</v>
      </c>
      <c r="K783" s="37" t="s">
        <v>77</v>
      </c>
      <c r="L783" s="37" t="s">
        <v>77</v>
      </c>
      <c r="M783" s="37" t="s">
        <v>77</v>
      </c>
      <c r="N783" s="37" t="s">
        <v>77</v>
      </c>
      <c r="O783" s="37" t="s">
        <v>77</v>
      </c>
      <c r="P783" s="37" t="s">
        <v>77</v>
      </c>
      <c r="Q783" s="37" t="s">
        <v>2421</v>
      </c>
    </row>
    <row r="784" spans="1:17" ht="15">
      <c r="A784">
        <v>782</v>
      </c>
      <c r="B784" s="37" t="s">
        <v>2406</v>
      </c>
      <c r="C784" s="37" t="s">
        <v>2422</v>
      </c>
      <c r="D784" s="37" t="s">
        <v>2423</v>
      </c>
      <c r="E784" s="37">
        <v>3</v>
      </c>
      <c r="F784" s="37" t="s">
        <v>77</v>
      </c>
      <c r="G784" s="37" t="s">
        <v>77</v>
      </c>
      <c r="H784" s="37" t="s">
        <v>77</v>
      </c>
      <c r="I784" s="37" t="s">
        <v>77</v>
      </c>
      <c r="J784" s="37" t="s">
        <v>77</v>
      </c>
      <c r="K784" s="37" t="s">
        <v>77</v>
      </c>
      <c r="L784" s="37" t="s">
        <v>77</v>
      </c>
      <c r="M784" s="37" t="s">
        <v>77</v>
      </c>
      <c r="N784" s="37" t="s">
        <v>77</v>
      </c>
      <c r="O784" s="37" t="s">
        <v>77</v>
      </c>
      <c r="P784" s="37" t="s">
        <v>77</v>
      </c>
      <c r="Q784" s="37" t="s">
        <v>2424</v>
      </c>
    </row>
    <row r="785" spans="1:17" ht="15">
      <c r="A785">
        <v>783</v>
      </c>
      <c r="B785" s="37" t="s">
        <v>2406</v>
      </c>
      <c r="C785" s="37" t="s">
        <v>2425</v>
      </c>
      <c r="D785" s="37" t="s">
        <v>2426</v>
      </c>
      <c r="E785" s="37">
        <v>3</v>
      </c>
      <c r="F785" s="37" t="s">
        <v>77</v>
      </c>
      <c r="G785" s="37" t="s">
        <v>77</v>
      </c>
      <c r="H785" s="37" t="s">
        <v>77</v>
      </c>
      <c r="I785" s="37" t="s">
        <v>77</v>
      </c>
      <c r="J785" s="37" t="s">
        <v>77</v>
      </c>
      <c r="K785" s="37" t="s">
        <v>77</v>
      </c>
      <c r="L785" s="37" t="s">
        <v>77</v>
      </c>
      <c r="M785" s="37" t="s">
        <v>77</v>
      </c>
      <c r="N785" s="37" t="s">
        <v>77</v>
      </c>
      <c r="O785" s="37" t="s">
        <v>77</v>
      </c>
      <c r="P785" s="37" t="s">
        <v>77</v>
      </c>
      <c r="Q785" s="37" t="s">
        <v>2427</v>
      </c>
    </row>
    <row r="786" spans="1:17" ht="15">
      <c r="A786">
        <v>784</v>
      </c>
      <c r="B786" s="37" t="s">
        <v>2406</v>
      </c>
      <c r="C786" s="37" t="s">
        <v>2428</v>
      </c>
      <c r="D786" s="37" t="s">
        <v>2429</v>
      </c>
      <c r="E786" s="37">
        <v>3</v>
      </c>
      <c r="F786" s="37" t="s">
        <v>77</v>
      </c>
      <c r="G786" s="37" t="s">
        <v>77</v>
      </c>
      <c r="H786" s="37" t="s">
        <v>77</v>
      </c>
      <c r="I786" s="37" t="s">
        <v>77</v>
      </c>
      <c r="J786" s="37" t="s">
        <v>77</v>
      </c>
      <c r="K786" s="37" t="s">
        <v>77</v>
      </c>
      <c r="L786" s="37" t="s">
        <v>77</v>
      </c>
      <c r="M786" s="37" t="s">
        <v>77</v>
      </c>
      <c r="N786" s="37" t="s">
        <v>78</v>
      </c>
      <c r="O786" s="37" t="s">
        <v>77</v>
      </c>
      <c r="P786" s="37" t="s">
        <v>77</v>
      </c>
      <c r="Q786" s="37" t="s">
        <v>2430</v>
      </c>
    </row>
    <row r="787" spans="1:17" ht="15">
      <c r="A787">
        <v>785</v>
      </c>
      <c r="B787" s="37" t="s">
        <v>2406</v>
      </c>
      <c r="C787" s="37" t="s">
        <v>2431</v>
      </c>
      <c r="D787" s="37" t="s">
        <v>2432</v>
      </c>
      <c r="E787" s="37">
        <v>3</v>
      </c>
      <c r="F787" s="37" t="s">
        <v>78</v>
      </c>
      <c r="G787" s="37" t="s">
        <v>77</v>
      </c>
      <c r="H787" s="37" t="s">
        <v>77</v>
      </c>
      <c r="I787" s="37" t="s">
        <v>77</v>
      </c>
      <c r="J787" s="37" t="s">
        <v>77</v>
      </c>
      <c r="K787" s="37" t="s">
        <v>77</v>
      </c>
      <c r="L787" s="37" t="s">
        <v>77</v>
      </c>
      <c r="M787" s="37" t="s">
        <v>77</v>
      </c>
      <c r="N787" s="37" t="s">
        <v>78</v>
      </c>
      <c r="O787" s="37" t="s">
        <v>77</v>
      </c>
      <c r="P787" s="37" t="s">
        <v>77</v>
      </c>
      <c r="Q787" s="37" t="s">
        <v>2433</v>
      </c>
    </row>
    <row r="788" spans="1:17" ht="15">
      <c r="A788">
        <v>786</v>
      </c>
      <c r="B788" s="37" t="s">
        <v>2406</v>
      </c>
      <c r="C788" s="37" t="s">
        <v>2434</v>
      </c>
      <c r="D788" s="37" t="s">
        <v>2435</v>
      </c>
      <c r="E788" s="37">
        <v>3</v>
      </c>
      <c r="F788" s="37" t="s">
        <v>77</v>
      </c>
      <c r="G788" s="37" t="s">
        <v>77</v>
      </c>
      <c r="H788" s="37" t="s">
        <v>77</v>
      </c>
      <c r="I788" s="37" t="s">
        <v>77</v>
      </c>
      <c r="J788" s="37" t="s">
        <v>77</v>
      </c>
      <c r="K788" s="37" t="s">
        <v>77</v>
      </c>
      <c r="L788" s="37" t="s">
        <v>77</v>
      </c>
      <c r="M788" s="37" t="s">
        <v>77</v>
      </c>
      <c r="N788" s="37" t="s">
        <v>77</v>
      </c>
      <c r="O788" s="37" t="s">
        <v>77</v>
      </c>
      <c r="P788" s="37" t="s">
        <v>77</v>
      </c>
      <c r="Q788" s="37" t="s">
        <v>2436</v>
      </c>
    </row>
    <row r="789" spans="1:17" ht="15">
      <c r="A789">
        <v>787</v>
      </c>
      <c r="B789" s="37" t="s">
        <v>2406</v>
      </c>
      <c r="C789" s="37" t="s">
        <v>2437</v>
      </c>
      <c r="D789" s="37" t="s">
        <v>2438</v>
      </c>
      <c r="E789" s="37">
        <v>3</v>
      </c>
      <c r="F789" s="37" t="s">
        <v>77</v>
      </c>
      <c r="G789" s="37" t="s">
        <v>77</v>
      </c>
      <c r="H789" s="37" t="s">
        <v>77</v>
      </c>
      <c r="I789" s="37" t="s">
        <v>77</v>
      </c>
      <c r="J789" s="37" t="s">
        <v>77</v>
      </c>
      <c r="K789" s="37" t="s">
        <v>77</v>
      </c>
      <c r="L789" s="37" t="s">
        <v>77</v>
      </c>
      <c r="M789" s="37" t="s">
        <v>77</v>
      </c>
      <c r="N789" s="37" t="s">
        <v>77</v>
      </c>
      <c r="O789" s="37" t="s">
        <v>77</v>
      </c>
      <c r="P789" s="37" t="s">
        <v>77</v>
      </c>
      <c r="Q789" s="37" t="s">
        <v>2439</v>
      </c>
    </row>
    <row r="790" spans="1:17" ht="15">
      <c r="A790">
        <v>788</v>
      </c>
      <c r="B790" s="37" t="s">
        <v>2406</v>
      </c>
      <c r="C790" s="37" t="s">
        <v>2440</v>
      </c>
      <c r="D790" s="37" t="s">
        <v>2441</v>
      </c>
      <c r="E790" s="37">
        <v>3</v>
      </c>
      <c r="F790" s="37" t="s">
        <v>77</v>
      </c>
      <c r="G790" s="37" t="s">
        <v>77</v>
      </c>
      <c r="H790" s="37" t="s">
        <v>77</v>
      </c>
      <c r="I790" s="37" t="s">
        <v>77</v>
      </c>
      <c r="J790" s="37" t="s">
        <v>77</v>
      </c>
      <c r="K790" s="37" t="s">
        <v>77</v>
      </c>
      <c r="L790" s="37" t="s">
        <v>77</v>
      </c>
      <c r="M790" s="37" t="s">
        <v>77</v>
      </c>
      <c r="N790" s="37" t="s">
        <v>78</v>
      </c>
      <c r="O790" s="37" t="s">
        <v>77</v>
      </c>
      <c r="P790" s="37" t="s">
        <v>77</v>
      </c>
      <c r="Q790" s="37" t="s">
        <v>2442</v>
      </c>
    </row>
    <row r="791" spans="1:17" ht="15">
      <c r="A791">
        <v>789</v>
      </c>
      <c r="B791" s="37" t="s">
        <v>2406</v>
      </c>
      <c r="C791" s="37" t="s">
        <v>2443</v>
      </c>
      <c r="D791" s="37" t="s">
        <v>2444</v>
      </c>
      <c r="E791" s="37">
        <v>3</v>
      </c>
      <c r="F791" s="37" t="s">
        <v>77</v>
      </c>
      <c r="G791" s="37" t="s">
        <v>77</v>
      </c>
      <c r="H791" s="37" t="s">
        <v>77</v>
      </c>
      <c r="I791" s="37" t="s">
        <v>77</v>
      </c>
      <c r="J791" s="37" t="s">
        <v>77</v>
      </c>
      <c r="K791" s="37" t="s">
        <v>77</v>
      </c>
      <c r="L791" s="37" t="s">
        <v>77</v>
      </c>
      <c r="M791" s="37" t="s">
        <v>77</v>
      </c>
      <c r="N791" s="37" t="s">
        <v>77</v>
      </c>
      <c r="O791" s="37" t="s">
        <v>77</v>
      </c>
      <c r="P791" s="37" t="s">
        <v>77</v>
      </c>
      <c r="Q791" s="37" t="s">
        <v>2445</v>
      </c>
    </row>
    <row r="792" spans="1:17" ht="15">
      <c r="A792">
        <v>790</v>
      </c>
      <c r="B792" s="37" t="s">
        <v>2406</v>
      </c>
      <c r="C792" s="37" t="s">
        <v>2446</v>
      </c>
      <c r="D792" s="37" t="s">
        <v>2447</v>
      </c>
      <c r="E792" s="37">
        <v>3</v>
      </c>
      <c r="F792" s="37" t="s">
        <v>77</v>
      </c>
      <c r="G792" s="37" t="s">
        <v>77</v>
      </c>
      <c r="H792" s="37" t="s">
        <v>77</v>
      </c>
      <c r="I792" s="37" t="s">
        <v>77</v>
      </c>
      <c r="J792" s="37" t="s">
        <v>77</v>
      </c>
      <c r="K792" s="37" t="s">
        <v>77</v>
      </c>
      <c r="L792" s="37" t="s">
        <v>77</v>
      </c>
      <c r="M792" s="37" t="s">
        <v>77</v>
      </c>
      <c r="N792" s="37" t="s">
        <v>77</v>
      </c>
      <c r="O792" s="37" t="s">
        <v>77</v>
      </c>
      <c r="P792" s="37" t="s">
        <v>77</v>
      </c>
      <c r="Q792" s="37" t="s">
        <v>2448</v>
      </c>
    </row>
    <row r="793" spans="1:17" ht="15">
      <c r="A793">
        <v>791</v>
      </c>
      <c r="B793" s="37" t="s">
        <v>2406</v>
      </c>
      <c r="C793" s="37" t="s">
        <v>2449</v>
      </c>
      <c r="D793" s="37" t="s">
        <v>2450</v>
      </c>
      <c r="E793" s="37">
        <v>3</v>
      </c>
      <c r="F793" s="37" t="s">
        <v>77</v>
      </c>
      <c r="G793" s="37" t="s">
        <v>77</v>
      </c>
      <c r="H793" s="37" t="s">
        <v>77</v>
      </c>
      <c r="I793" s="37" t="s">
        <v>77</v>
      </c>
      <c r="J793" s="37" t="s">
        <v>77</v>
      </c>
      <c r="K793" s="37" t="s">
        <v>77</v>
      </c>
      <c r="L793" s="37" t="s">
        <v>77</v>
      </c>
      <c r="M793" s="37" t="s">
        <v>77</v>
      </c>
      <c r="N793" s="37" t="s">
        <v>77</v>
      </c>
      <c r="O793" s="37" t="s">
        <v>77</v>
      </c>
      <c r="P793" s="37" t="s">
        <v>77</v>
      </c>
      <c r="Q793" s="37" t="s">
        <v>2451</v>
      </c>
    </row>
    <row r="794" spans="1:17" ht="15">
      <c r="A794">
        <v>792</v>
      </c>
      <c r="B794" s="37" t="s">
        <v>2406</v>
      </c>
      <c r="C794" s="37" t="s">
        <v>2452</v>
      </c>
      <c r="D794" s="37" t="s">
        <v>2453</v>
      </c>
      <c r="E794" s="37">
        <v>3</v>
      </c>
      <c r="F794" s="37" t="s">
        <v>77</v>
      </c>
      <c r="G794" s="37" t="s">
        <v>77</v>
      </c>
      <c r="H794" s="37" t="s">
        <v>77</v>
      </c>
      <c r="I794" s="37" t="s">
        <v>77</v>
      </c>
      <c r="J794" s="37" t="s">
        <v>77</v>
      </c>
      <c r="K794" s="37" t="s">
        <v>77</v>
      </c>
      <c r="L794" s="37" t="s">
        <v>77</v>
      </c>
      <c r="M794" s="37" t="s">
        <v>77</v>
      </c>
      <c r="N794" s="37" t="s">
        <v>77</v>
      </c>
      <c r="O794" s="37" t="s">
        <v>77</v>
      </c>
      <c r="P794" s="37" t="s">
        <v>77</v>
      </c>
      <c r="Q794" s="37" t="s">
        <v>2454</v>
      </c>
    </row>
    <row r="795" spans="1:17" ht="15">
      <c r="A795">
        <v>793</v>
      </c>
      <c r="B795" s="37" t="s">
        <v>2406</v>
      </c>
      <c r="C795" s="37" t="s">
        <v>2455</v>
      </c>
      <c r="D795" s="37" t="s">
        <v>2456</v>
      </c>
      <c r="E795" s="37">
        <v>3</v>
      </c>
      <c r="F795" s="37" t="s">
        <v>77</v>
      </c>
      <c r="G795" s="37" t="s">
        <v>77</v>
      </c>
      <c r="H795" s="37" t="s">
        <v>77</v>
      </c>
      <c r="I795" s="37" t="s">
        <v>77</v>
      </c>
      <c r="J795" s="37" t="s">
        <v>77</v>
      </c>
      <c r="K795" s="37" t="s">
        <v>77</v>
      </c>
      <c r="L795" s="37" t="s">
        <v>77</v>
      </c>
      <c r="M795" s="37" t="s">
        <v>77</v>
      </c>
      <c r="N795" s="37" t="s">
        <v>77</v>
      </c>
      <c r="O795" s="37" t="s">
        <v>77</v>
      </c>
      <c r="P795" s="37" t="s">
        <v>77</v>
      </c>
      <c r="Q795" s="37" t="s">
        <v>2457</v>
      </c>
    </row>
    <row r="796" spans="1:17" ht="15">
      <c r="A796">
        <v>794</v>
      </c>
      <c r="B796" s="37" t="s">
        <v>2406</v>
      </c>
      <c r="C796" s="37" t="s">
        <v>2458</v>
      </c>
      <c r="D796" s="37" t="s">
        <v>2459</v>
      </c>
      <c r="E796" s="37">
        <v>3</v>
      </c>
      <c r="F796" s="37" t="s">
        <v>77</v>
      </c>
      <c r="G796" s="37" t="s">
        <v>77</v>
      </c>
      <c r="H796" s="37" t="s">
        <v>77</v>
      </c>
      <c r="I796" s="37" t="s">
        <v>77</v>
      </c>
      <c r="J796" s="37" t="s">
        <v>77</v>
      </c>
      <c r="K796" s="37" t="s">
        <v>77</v>
      </c>
      <c r="L796" s="37" t="s">
        <v>77</v>
      </c>
      <c r="M796" s="37" t="s">
        <v>77</v>
      </c>
      <c r="N796" s="37" t="s">
        <v>77</v>
      </c>
      <c r="O796" s="37" t="s">
        <v>77</v>
      </c>
      <c r="P796" s="37" t="s">
        <v>77</v>
      </c>
      <c r="Q796" s="37" t="s">
        <v>2460</v>
      </c>
    </row>
    <row r="797" spans="1:17" ht="15">
      <c r="A797">
        <v>795</v>
      </c>
      <c r="B797" s="37" t="s">
        <v>2406</v>
      </c>
      <c r="C797" s="37" t="s">
        <v>2461</v>
      </c>
      <c r="D797" s="37" t="s">
        <v>2462</v>
      </c>
      <c r="E797" s="37">
        <v>3</v>
      </c>
      <c r="F797" s="37" t="s">
        <v>77</v>
      </c>
      <c r="G797" s="37" t="s">
        <v>77</v>
      </c>
      <c r="H797" s="37" t="s">
        <v>77</v>
      </c>
      <c r="I797" s="37" t="s">
        <v>77</v>
      </c>
      <c r="J797" s="37" t="s">
        <v>77</v>
      </c>
      <c r="K797" s="37" t="s">
        <v>77</v>
      </c>
      <c r="L797" s="37" t="s">
        <v>77</v>
      </c>
      <c r="M797" s="37" t="s">
        <v>77</v>
      </c>
      <c r="N797" s="37" t="s">
        <v>77</v>
      </c>
      <c r="O797" s="37" t="s">
        <v>77</v>
      </c>
      <c r="P797" s="37" t="s">
        <v>77</v>
      </c>
      <c r="Q797" s="37" t="s">
        <v>2463</v>
      </c>
    </row>
    <row r="798" spans="1:17" ht="15">
      <c r="A798">
        <v>796</v>
      </c>
      <c r="B798" s="37" t="s">
        <v>2406</v>
      </c>
      <c r="C798" s="37" t="s">
        <v>2464</v>
      </c>
      <c r="D798" s="37" t="s">
        <v>2465</v>
      </c>
      <c r="E798" s="37">
        <v>3</v>
      </c>
      <c r="F798" s="37" t="s">
        <v>77</v>
      </c>
      <c r="G798" s="37" t="s">
        <v>77</v>
      </c>
      <c r="H798" s="37" t="s">
        <v>77</v>
      </c>
      <c r="I798" s="37" t="s">
        <v>77</v>
      </c>
      <c r="J798" s="37" t="s">
        <v>77</v>
      </c>
      <c r="K798" s="37" t="s">
        <v>77</v>
      </c>
      <c r="L798" s="37" t="s">
        <v>77</v>
      </c>
      <c r="M798" s="37" t="s">
        <v>77</v>
      </c>
      <c r="N798" s="37" t="s">
        <v>77</v>
      </c>
      <c r="O798" s="37" t="s">
        <v>77</v>
      </c>
      <c r="P798" s="37" t="s">
        <v>77</v>
      </c>
      <c r="Q798" s="37" t="s">
        <v>2466</v>
      </c>
    </row>
    <row r="799" spans="1:17" ht="15">
      <c r="A799">
        <v>797</v>
      </c>
      <c r="B799" s="37" t="s">
        <v>2406</v>
      </c>
      <c r="C799" s="37" t="s">
        <v>2467</v>
      </c>
      <c r="D799" s="37" t="s">
        <v>2468</v>
      </c>
      <c r="E799" s="37">
        <v>3</v>
      </c>
      <c r="F799" s="37" t="s">
        <v>77</v>
      </c>
      <c r="G799" s="37" t="s">
        <v>77</v>
      </c>
      <c r="H799" s="37" t="s">
        <v>77</v>
      </c>
      <c r="I799" s="37" t="s">
        <v>77</v>
      </c>
      <c r="J799" s="37" t="s">
        <v>77</v>
      </c>
      <c r="K799" s="37" t="s">
        <v>77</v>
      </c>
      <c r="L799" s="37" t="s">
        <v>77</v>
      </c>
      <c r="M799" s="37" t="s">
        <v>77</v>
      </c>
      <c r="N799" s="37" t="s">
        <v>77</v>
      </c>
      <c r="O799" s="37" t="s">
        <v>77</v>
      </c>
      <c r="P799" s="37" t="s">
        <v>77</v>
      </c>
      <c r="Q799" s="37" t="s">
        <v>2469</v>
      </c>
    </row>
    <row r="800" spans="1:17" ht="15">
      <c r="A800">
        <v>798</v>
      </c>
      <c r="B800" s="37" t="s">
        <v>2406</v>
      </c>
      <c r="C800" s="37" t="s">
        <v>2470</v>
      </c>
      <c r="D800" s="37" t="s">
        <v>2471</v>
      </c>
      <c r="E800" s="37">
        <v>3</v>
      </c>
      <c r="F800" s="37" t="s">
        <v>77</v>
      </c>
      <c r="G800" s="37" t="s">
        <v>77</v>
      </c>
      <c r="H800" s="37" t="s">
        <v>77</v>
      </c>
      <c r="I800" s="37" t="s">
        <v>77</v>
      </c>
      <c r="J800" s="37" t="s">
        <v>77</v>
      </c>
      <c r="K800" s="37" t="s">
        <v>77</v>
      </c>
      <c r="L800" s="37" t="s">
        <v>77</v>
      </c>
      <c r="M800" s="37" t="s">
        <v>77</v>
      </c>
      <c r="N800" s="37" t="s">
        <v>77</v>
      </c>
      <c r="O800" s="37" t="s">
        <v>77</v>
      </c>
      <c r="P800" s="37" t="s">
        <v>77</v>
      </c>
      <c r="Q800" s="37" t="s">
        <v>2472</v>
      </c>
    </row>
    <row r="801" spans="1:17" ht="15">
      <c r="A801">
        <v>799</v>
      </c>
      <c r="B801" s="37" t="s">
        <v>2406</v>
      </c>
      <c r="C801" s="37" t="s">
        <v>2473</v>
      </c>
      <c r="D801" s="37" t="s">
        <v>2474</v>
      </c>
      <c r="E801" s="37">
        <v>3</v>
      </c>
      <c r="F801" s="37" t="s">
        <v>78</v>
      </c>
      <c r="G801" s="37" t="s">
        <v>77</v>
      </c>
      <c r="H801" s="37" t="s">
        <v>77</v>
      </c>
      <c r="I801" s="37" t="s">
        <v>78</v>
      </c>
      <c r="J801" s="37" t="s">
        <v>77</v>
      </c>
      <c r="K801" s="37" t="s">
        <v>77</v>
      </c>
      <c r="L801" s="37" t="s">
        <v>77</v>
      </c>
      <c r="M801" s="37" t="s">
        <v>77</v>
      </c>
      <c r="N801" s="37" t="s">
        <v>78</v>
      </c>
      <c r="O801" s="37" t="s">
        <v>77</v>
      </c>
      <c r="P801" s="37" t="s">
        <v>77</v>
      </c>
      <c r="Q801" s="37" t="s">
        <v>2475</v>
      </c>
    </row>
    <row r="802" spans="1:17" ht="15">
      <c r="A802">
        <v>800</v>
      </c>
      <c r="B802" s="37" t="s">
        <v>2406</v>
      </c>
      <c r="C802" s="37" t="s">
        <v>2476</v>
      </c>
      <c r="D802" s="37" t="s">
        <v>2477</v>
      </c>
      <c r="E802" s="37">
        <v>3</v>
      </c>
      <c r="F802" s="37" t="s">
        <v>77</v>
      </c>
      <c r="G802" s="37" t="s">
        <v>77</v>
      </c>
      <c r="H802" s="37" t="s">
        <v>77</v>
      </c>
      <c r="I802" s="37" t="s">
        <v>78</v>
      </c>
      <c r="J802" s="37" t="s">
        <v>77</v>
      </c>
      <c r="K802" s="37" t="s">
        <v>77</v>
      </c>
      <c r="L802" s="37" t="s">
        <v>77</v>
      </c>
      <c r="M802" s="37" t="s">
        <v>77</v>
      </c>
      <c r="N802" s="37" t="s">
        <v>78</v>
      </c>
      <c r="O802" s="37" t="s">
        <v>77</v>
      </c>
      <c r="P802" s="37" t="s">
        <v>77</v>
      </c>
      <c r="Q802" s="37" t="s">
        <v>2478</v>
      </c>
    </row>
    <row r="803" spans="1:17" ht="15">
      <c r="A803">
        <v>801</v>
      </c>
      <c r="B803" s="37" t="s">
        <v>2406</v>
      </c>
      <c r="C803" s="37" t="s">
        <v>2479</v>
      </c>
      <c r="D803" s="37" t="s">
        <v>2480</v>
      </c>
      <c r="E803" s="37">
        <v>3</v>
      </c>
      <c r="F803" s="37" t="s">
        <v>77</v>
      </c>
      <c r="G803" s="37" t="s">
        <v>77</v>
      </c>
      <c r="H803" s="37" t="s">
        <v>77</v>
      </c>
      <c r="I803" s="37" t="s">
        <v>77</v>
      </c>
      <c r="J803" s="37" t="s">
        <v>77</v>
      </c>
      <c r="K803" s="37" t="s">
        <v>77</v>
      </c>
      <c r="L803" s="37" t="s">
        <v>77</v>
      </c>
      <c r="M803" s="37" t="s">
        <v>77</v>
      </c>
      <c r="N803" s="37" t="s">
        <v>77</v>
      </c>
      <c r="O803" s="37" t="s">
        <v>77</v>
      </c>
      <c r="P803" s="37" t="s">
        <v>77</v>
      </c>
      <c r="Q803" s="37" t="s">
        <v>2481</v>
      </c>
    </row>
    <row r="804" spans="1:17" ht="15">
      <c r="A804">
        <v>802</v>
      </c>
      <c r="B804" s="37" t="s">
        <v>2406</v>
      </c>
      <c r="C804" s="37" t="s">
        <v>2482</v>
      </c>
      <c r="D804" s="37" t="s">
        <v>2480</v>
      </c>
      <c r="E804" s="37">
        <v>3</v>
      </c>
      <c r="F804" s="37" t="s">
        <v>77</v>
      </c>
      <c r="G804" s="37" t="s">
        <v>77</v>
      </c>
      <c r="H804" s="37" t="s">
        <v>77</v>
      </c>
      <c r="I804" s="37" t="s">
        <v>77</v>
      </c>
      <c r="J804" s="37" t="s">
        <v>77</v>
      </c>
      <c r="K804" s="37" t="s">
        <v>77</v>
      </c>
      <c r="L804" s="37" t="s">
        <v>77</v>
      </c>
      <c r="M804" s="37" t="s">
        <v>77</v>
      </c>
      <c r="N804" s="37" t="s">
        <v>77</v>
      </c>
      <c r="O804" s="37" t="s">
        <v>77</v>
      </c>
      <c r="P804" s="37" t="s">
        <v>77</v>
      </c>
      <c r="Q804" s="37" t="s">
        <v>2481</v>
      </c>
    </row>
    <row r="805" spans="1:17" ht="15">
      <c r="A805">
        <v>803</v>
      </c>
      <c r="B805" s="37" t="s">
        <v>2483</v>
      </c>
      <c r="C805" s="37" t="s">
        <v>2484</v>
      </c>
      <c r="D805" s="37" t="s">
        <v>2485</v>
      </c>
      <c r="E805" s="37">
        <v>3</v>
      </c>
      <c r="F805" s="37" t="s">
        <v>77</v>
      </c>
      <c r="G805" s="37" t="s">
        <v>77</v>
      </c>
      <c r="H805" s="37" t="s">
        <v>77</v>
      </c>
      <c r="I805" s="37" t="s">
        <v>77</v>
      </c>
      <c r="J805" s="37" t="s">
        <v>77</v>
      </c>
      <c r="K805" s="37" t="s">
        <v>77</v>
      </c>
      <c r="L805" s="37" t="s">
        <v>77</v>
      </c>
      <c r="M805" s="37" t="s">
        <v>77</v>
      </c>
      <c r="N805" s="37" t="s">
        <v>77</v>
      </c>
      <c r="O805" s="37" t="s">
        <v>77</v>
      </c>
      <c r="P805" s="37" t="s">
        <v>77</v>
      </c>
      <c r="Q805" s="37" t="s">
        <v>2486</v>
      </c>
    </row>
    <row r="806" spans="1:17" ht="15">
      <c r="A806">
        <v>804</v>
      </c>
      <c r="B806" s="37" t="s">
        <v>2483</v>
      </c>
      <c r="C806" s="37" t="s">
        <v>2487</v>
      </c>
      <c r="D806" s="37" t="s">
        <v>2488</v>
      </c>
      <c r="E806" s="37">
        <v>3</v>
      </c>
      <c r="F806" s="37" t="s">
        <v>77</v>
      </c>
      <c r="G806" s="37" t="s">
        <v>77</v>
      </c>
      <c r="H806" s="37" t="s">
        <v>77</v>
      </c>
      <c r="I806" s="37" t="s">
        <v>77</v>
      </c>
      <c r="J806" s="37" t="s">
        <v>77</v>
      </c>
      <c r="K806" s="37" t="s">
        <v>77</v>
      </c>
      <c r="L806" s="37" t="s">
        <v>77</v>
      </c>
      <c r="M806" s="37" t="s">
        <v>77</v>
      </c>
      <c r="N806" s="37" t="s">
        <v>77</v>
      </c>
      <c r="O806" s="37" t="s">
        <v>77</v>
      </c>
      <c r="P806" s="37" t="s">
        <v>77</v>
      </c>
      <c r="Q806" s="37" t="s">
        <v>2489</v>
      </c>
    </row>
    <row r="807" spans="1:17" ht="15">
      <c r="A807">
        <v>805</v>
      </c>
      <c r="B807" s="37" t="s">
        <v>2483</v>
      </c>
      <c r="C807" s="37" t="s">
        <v>2490</v>
      </c>
      <c r="D807" s="37" t="s">
        <v>2491</v>
      </c>
      <c r="E807" s="37">
        <v>3</v>
      </c>
      <c r="F807" s="37" t="s">
        <v>77</v>
      </c>
      <c r="G807" s="37" t="s">
        <v>77</v>
      </c>
      <c r="H807" s="37" t="s">
        <v>77</v>
      </c>
      <c r="I807" s="37" t="s">
        <v>77</v>
      </c>
      <c r="J807" s="37" t="s">
        <v>77</v>
      </c>
      <c r="K807" s="37" t="s">
        <v>77</v>
      </c>
      <c r="L807" s="37" t="s">
        <v>77</v>
      </c>
      <c r="M807" s="37" t="s">
        <v>77</v>
      </c>
      <c r="N807" s="37" t="s">
        <v>77</v>
      </c>
      <c r="O807" s="37" t="s">
        <v>77</v>
      </c>
      <c r="P807" s="37" t="s">
        <v>77</v>
      </c>
      <c r="Q807" s="37" t="s">
        <v>2492</v>
      </c>
    </row>
    <row r="808" spans="1:17" ht="15">
      <c r="A808">
        <v>806</v>
      </c>
      <c r="B808" s="37" t="s">
        <v>2483</v>
      </c>
      <c r="C808" s="37" t="s">
        <v>2493</v>
      </c>
      <c r="D808" s="37" t="s">
        <v>2450</v>
      </c>
      <c r="E808" s="37">
        <v>3</v>
      </c>
      <c r="F808" s="37" t="s">
        <v>77</v>
      </c>
      <c r="G808" s="37" t="s">
        <v>77</v>
      </c>
      <c r="H808" s="37" t="s">
        <v>77</v>
      </c>
      <c r="I808" s="37" t="s">
        <v>77</v>
      </c>
      <c r="J808" s="37" t="s">
        <v>77</v>
      </c>
      <c r="K808" s="37" t="s">
        <v>77</v>
      </c>
      <c r="L808" s="37" t="s">
        <v>77</v>
      </c>
      <c r="M808" s="37" t="s">
        <v>77</v>
      </c>
      <c r="N808" s="37" t="s">
        <v>77</v>
      </c>
      <c r="O808" s="37" t="s">
        <v>77</v>
      </c>
      <c r="P808" s="37" t="s">
        <v>77</v>
      </c>
      <c r="Q808" s="37" t="s">
        <v>2494</v>
      </c>
    </row>
    <row r="809" spans="1:17" ht="15">
      <c r="A809">
        <v>807</v>
      </c>
      <c r="B809" s="37" t="s">
        <v>2483</v>
      </c>
      <c r="C809" s="37" t="s">
        <v>2495</v>
      </c>
      <c r="D809" s="37" t="s">
        <v>2496</v>
      </c>
      <c r="E809" s="37">
        <v>3</v>
      </c>
      <c r="F809" s="37" t="s">
        <v>77</v>
      </c>
      <c r="G809" s="37" t="s">
        <v>77</v>
      </c>
      <c r="H809" s="37" t="s">
        <v>77</v>
      </c>
      <c r="I809" s="37" t="s">
        <v>77</v>
      </c>
      <c r="J809" s="37" t="s">
        <v>77</v>
      </c>
      <c r="K809" s="37" t="s">
        <v>77</v>
      </c>
      <c r="L809" s="37" t="s">
        <v>77</v>
      </c>
      <c r="M809" s="37" t="s">
        <v>77</v>
      </c>
      <c r="N809" s="37" t="s">
        <v>77</v>
      </c>
      <c r="O809" s="37" t="s">
        <v>77</v>
      </c>
      <c r="P809" s="37" t="s">
        <v>77</v>
      </c>
      <c r="Q809" s="37" t="s">
        <v>2497</v>
      </c>
    </row>
    <row r="810" spans="1:17" ht="15">
      <c r="A810">
        <v>808</v>
      </c>
      <c r="B810" s="37" t="s">
        <v>2483</v>
      </c>
      <c r="C810" s="37" t="s">
        <v>2498</v>
      </c>
      <c r="D810" s="37" t="s">
        <v>2408</v>
      </c>
      <c r="E810" s="37">
        <v>3</v>
      </c>
      <c r="F810" s="37" t="s">
        <v>77</v>
      </c>
      <c r="G810" s="37" t="s">
        <v>77</v>
      </c>
      <c r="H810" s="37" t="s">
        <v>77</v>
      </c>
      <c r="I810" s="37" t="s">
        <v>77</v>
      </c>
      <c r="J810" s="37" t="s">
        <v>77</v>
      </c>
      <c r="K810" s="37" t="s">
        <v>77</v>
      </c>
      <c r="L810" s="37" t="s">
        <v>77</v>
      </c>
      <c r="M810" s="37" t="s">
        <v>77</v>
      </c>
      <c r="N810" s="37" t="s">
        <v>77</v>
      </c>
      <c r="O810" s="37" t="s">
        <v>77</v>
      </c>
      <c r="P810" s="37" t="s">
        <v>77</v>
      </c>
      <c r="Q810" s="37" t="s">
        <v>2409</v>
      </c>
    </row>
    <row r="811" spans="1:17" ht="15">
      <c r="A811">
        <v>809</v>
      </c>
      <c r="B811" s="37" t="s">
        <v>2483</v>
      </c>
      <c r="C811" s="37" t="s">
        <v>2499</v>
      </c>
      <c r="D811" s="37" t="s">
        <v>2500</v>
      </c>
      <c r="E811" s="37">
        <v>3</v>
      </c>
      <c r="F811" s="37" t="s">
        <v>77</v>
      </c>
      <c r="G811" s="37" t="s">
        <v>77</v>
      </c>
      <c r="H811" s="37" t="s">
        <v>77</v>
      </c>
      <c r="I811" s="37" t="s">
        <v>77</v>
      </c>
      <c r="J811" s="37" t="s">
        <v>77</v>
      </c>
      <c r="K811" s="37" t="s">
        <v>77</v>
      </c>
      <c r="L811" s="37" t="s">
        <v>77</v>
      </c>
      <c r="M811" s="37" t="s">
        <v>77</v>
      </c>
      <c r="N811" s="37" t="s">
        <v>77</v>
      </c>
      <c r="O811" s="37" t="s">
        <v>77</v>
      </c>
      <c r="P811" s="37" t="s">
        <v>77</v>
      </c>
      <c r="Q811" s="37" t="s">
        <v>2501</v>
      </c>
    </row>
    <row r="812" spans="1:17" ht="15">
      <c r="A812">
        <v>810</v>
      </c>
      <c r="B812" s="37" t="s">
        <v>2483</v>
      </c>
      <c r="C812" s="37" t="s">
        <v>2502</v>
      </c>
      <c r="D812" s="37" t="s">
        <v>2503</v>
      </c>
      <c r="E812" s="37">
        <v>3</v>
      </c>
      <c r="F812" s="37" t="s">
        <v>77</v>
      </c>
      <c r="G812" s="37" t="s">
        <v>77</v>
      </c>
      <c r="H812" s="37" t="s">
        <v>77</v>
      </c>
      <c r="I812" s="37" t="s">
        <v>77</v>
      </c>
      <c r="J812" s="37" t="s">
        <v>77</v>
      </c>
      <c r="K812" s="37" t="s">
        <v>77</v>
      </c>
      <c r="L812" s="37" t="s">
        <v>77</v>
      </c>
      <c r="M812" s="37" t="s">
        <v>77</v>
      </c>
      <c r="N812" s="37" t="s">
        <v>77</v>
      </c>
      <c r="O812" s="37" t="s">
        <v>77</v>
      </c>
      <c r="P812" s="37" t="s">
        <v>77</v>
      </c>
      <c r="Q812" s="37" t="s">
        <v>2504</v>
      </c>
    </row>
    <row r="813" spans="1:17" ht="15">
      <c r="A813">
        <v>811</v>
      </c>
      <c r="B813" s="37" t="s">
        <v>2483</v>
      </c>
      <c r="C813" s="37" t="s">
        <v>2505</v>
      </c>
      <c r="D813" s="37" t="s">
        <v>2411</v>
      </c>
      <c r="E813" s="37">
        <v>3</v>
      </c>
      <c r="F813" s="37" t="s">
        <v>77</v>
      </c>
      <c r="G813" s="37" t="s">
        <v>77</v>
      </c>
      <c r="H813" s="37" t="s">
        <v>77</v>
      </c>
      <c r="I813" s="37" t="s">
        <v>77</v>
      </c>
      <c r="J813" s="37" t="s">
        <v>77</v>
      </c>
      <c r="K813" s="37" t="s">
        <v>77</v>
      </c>
      <c r="L813" s="37" t="s">
        <v>77</v>
      </c>
      <c r="M813" s="37" t="s">
        <v>77</v>
      </c>
      <c r="N813" s="37" t="s">
        <v>77</v>
      </c>
      <c r="O813" s="37" t="s">
        <v>77</v>
      </c>
      <c r="P813" s="37" t="s">
        <v>77</v>
      </c>
      <c r="Q813" s="37" t="s">
        <v>2412</v>
      </c>
    </row>
    <row r="814" spans="1:17" ht="15">
      <c r="A814">
        <v>812</v>
      </c>
      <c r="B814" s="37" t="s">
        <v>2483</v>
      </c>
      <c r="C814" s="37" t="s">
        <v>2506</v>
      </c>
      <c r="D814" s="37" t="s">
        <v>2423</v>
      </c>
      <c r="E814" s="37">
        <v>3</v>
      </c>
      <c r="F814" s="37" t="s">
        <v>77</v>
      </c>
      <c r="G814" s="37" t="s">
        <v>77</v>
      </c>
      <c r="H814" s="37" t="s">
        <v>77</v>
      </c>
      <c r="I814" s="37" t="s">
        <v>77</v>
      </c>
      <c r="J814" s="37" t="s">
        <v>77</v>
      </c>
      <c r="K814" s="37" t="s">
        <v>77</v>
      </c>
      <c r="L814" s="37" t="s">
        <v>77</v>
      </c>
      <c r="M814" s="37" t="s">
        <v>77</v>
      </c>
      <c r="N814" s="37" t="s">
        <v>77</v>
      </c>
      <c r="O814" s="37" t="s">
        <v>77</v>
      </c>
      <c r="P814" s="37" t="s">
        <v>77</v>
      </c>
      <c r="Q814" s="37" t="s">
        <v>2507</v>
      </c>
    </row>
    <row r="815" spans="1:17" ht="15">
      <c r="A815">
        <v>813</v>
      </c>
      <c r="B815" s="37" t="s">
        <v>2483</v>
      </c>
      <c r="C815" s="37" t="s">
        <v>2508</v>
      </c>
      <c r="D815" s="37" t="s">
        <v>2509</v>
      </c>
      <c r="E815" s="37">
        <v>3</v>
      </c>
      <c r="F815" s="37" t="s">
        <v>77</v>
      </c>
      <c r="G815" s="37" t="s">
        <v>77</v>
      </c>
      <c r="H815" s="37" t="s">
        <v>77</v>
      </c>
      <c r="I815" s="37" t="s">
        <v>77</v>
      </c>
      <c r="J815" s="37" t="s">
        <v>77</v>
      </c>
      <c r="K815" s="37" t="s">
        <v>77</v>
      </c>
      <c r="L815" s="37" t="s">
        <v>77</v>
      </c>
      <c r="M815" s="37" t="s">
        <v>77</v>
      </c>
      <c r="N815" s="37" t="s">
        <v>77</v>
      </c>
      <c r="O815" s="37" t="s">
        <v>77</v>
      </c>
      <c r="P815" s="37" t="s">
        <v>77</v>
      </c>
      <c r="Q815" s="37" t="s">
        <v>2510</v>
      </c>
    </row>
    <row r="816" spans="1:17" ht="15">
      <c r="A816">
        <v>814</v>
      </c>
      <c r="B816" s="37" t="s">
        <v>2483</v>
      </c>
      <c r="C816" s="37" t="s">
        <v>2511</v>
      </c>
      <c r="D816" s="37" t="s">
        <v>2512</v>
      </c>
      <c r="E816" s="37">
        <v>3</v>
      </c>
      <c r="F816" s="37" t="s">
        <v>77</v>
      </c>
      <c r="G816" s="37" t="s">
        <v>77</v>
      </c>
      <c r="H816" s="37" t="s">
        <v>77</v>
      </c>
      <c r="I816" s="37" t="s">
        <v>77</v>
      </c>
      <c r="J816" s="37" t="s">
        <v>77</v>
      </c>
      <c r="K816" s="37" t="s">
        <v>77</v>
      </c>
      <c r="L816" s="37" t="s">
        <v>77</v>
      </c>
      <c r="M816" s="37" t="s">
        <v>77</v>
      </c>
      <c r="N816" s="37" t="s">
        <v>77</v>
      </c>
      <c r="O816" s="37" t="s">
        <v>77</v>
      </c>
      <c r="P816" s="37" t="s">
        <v>77</v>
      </c>
      <c r="Q816" s="37" t="s">
        <v>2513</v>
      </c>
    </row>
    <row r="817" spans="1:17" ht="15">
      <c r="A817">
        <v>815</v>
      </c>
      <c r="B817" s="37" t="s">
        <v>2483</v>
      </c>
      <c r="C817" s="37" t="s">
        <v>2514</v>
      </c>
      <c r="D817" s="37" t="s">
        <v>2515</v>
      </c>
      <c r="E817" s="37">
        <v>3</v>
      </c>
      <c r="F817" s="37" t="s">
        <v>77</v>
      </c>
      <c r="G817" s="37" t="s">
        <v>77</v>
      </c>
      <c r="H817" s="37" t="s">
        <v>77</v>
      </c>
      <c r="I817" s="37" t="s">
        <v>77</v>
      </c>
      <c r="J817" s="37" t="s">
        <v>77</v>
      </c>
      <c r="K817" s="37" t="s">
        <v>77</v>
      </c>
      <c r="L817" s="37" t="s">
        <v>77</v>
      </c>
      <c r="M817" s="37" t="s">
        <v>77</v>
      </c>
      <c r="N817" s="37" t="s">
        <v>77</v>
      </c>
      <c r="O817" s="37" t="s">
        <v>77</v>
      </c>
      <c r="P817" s="37" t="s">
        <v>77</v>
      </c>
      <c r="Q817" s="37" t="s">
        <v>2516</v>
      </c>
    </row>
    <row r="818" spans="1:17" ht="15">
      <c r="A818">
        <v>816</v>
      </c>
      <c r="B818" s="37" t="s">
        <v>2483</v>
      </c>
      <c r="C818" s="37" t="s">
        <v>2517</v>
      </c>
      <c r="D818" s="37" t="s">
        <v>2432</v>
      </c>
      <c r="E818" s="37">
        <v>3</v>
      </c>
      <c r="F818" s="37" t="s">
        <v>77</v>
      </c>
      <c r="G818" s="37" t="s">
        <v>77</v>
      </c>
      <c r="H818" s="37" t="s">
        <v>77</v>
      </c>
      <c r="I818" s="37" t="s">
        <v>77</v>
      </c>
      <c r="J818" s="37" t="s">
        <v>77</v>
      </c>
      <c r="K818" s="37" t="s">
        <v>77</v>
      </c>
      <c r="L818" s="37" t="s">
        <v>77</v>
      </c>
      <c r="M818" s="37" t="s">
        <v>77</v>
      </c>
      <c r="N818" s="37" t="s">
        <v>77</v>
      </c>
      <c r="O818" s="37" t="s">
        <v>77</v>
      </c>
      <c r="P818" s="37" t="s">
        <v>77</v>
      </c>
      <c r="Q818" s="37" t="s">
        <v>2518</v>
      </c>
    </row>
    <row r="819" spans="1:17" ht="15">
      <c r="A819">
        <v>817</v>
      </c>
      <c r="B819" s="37" t="s">
        <v>2483</v>
      </c>
      <c r="C819" s="37" t="s">
        <v>2519</v>
      </c>
      <c r="D819" s="37" t="s">
        <v>2520</v>
      </c>
      <c r="E819" s="37">
        <v>3</v>
      </c>
      <c r="F819" s="37" t="s">
        <v>77</v>
      </c>
      <c r="G819" s="37" t="s">
        <v>77</v>
      </c>
      <c r="H819" s="37" t="s">
        <v>77</v>
      </c>
      <c r="I819" s="37" t="s">
        <v>77</v>
      </c>
      <c r="J819" s="37" t="s">
        <v>77</v>
      </c>
      <c r="K819" s="37" t="s">
        <v>77</v>
      </c>
      <c r="L819" s="37" t="s">
        <v>77</v>
      </c>
      <c r="M819" s="37" t="s">
        <v>77</v>
      </c>
      <c r="N819" s="37" t="s">
        <v>77</v>
      </c>
      <c r="O819" s="37" t="s">
        <v>77</v>
      </c>
      <c r="P819" s="37" t="s">
        <v>77</v>
      </c>
      <c r="Q819" s="37" t="s">
        <v>2521</v>
      </c>
    </row>
    <row r="820" spans="1:17" ht="15">
      <c r="A820">
        <v>818</v>
      </c>
      <c r="B820" s="37" t="s">
        <v>2483</v>
      </c>
      <c r="C820" s="37" t="s">
        <v>2522</v>
      </c>
      <c r="D820" s="37" t="s">
        <v>2523</v>
      </c>
      <c r="E820" s="37">
        <v>3</v>
      </c>
      <c r="F820" s="37" t="s">
        <v>77</v>
      </c>
      <c r="G820" s="37" t="s">
        <v>77</v>
      </c>
      <c r="H820" s="37" t="s">
        <v>77</v>
      </c>
      <c r="I820" s="37" t="s">
        <v>77</v>
      </c>
      <c r="J820" s="37" t="s">
        <v>77</v>
      </c>
      <c r="K820" s="37" t="s">
        <v>77</v>
      </c>
      <c r="L820" s="37" t="s">
        <v>77</v>
      </c>
      <c r="M820" s="37" t="s">
        <v>77</v>
      </c>
      <c r="N820" s="37" t="s">
        <v>77</v>
      </c>
      <c r="O820" s="37" t="s">
        <v>77</v>
      </c>
      <c r="P820" s="37" t="s">
        <v>77</v>
      </c>
      <c r="Q820" s="37" t="s">
        <v>2524</v>
      </c>
    </row>
    <row r="821" spans="1:17" ht="15">
      <c r="A821">
        <v>819</v>
      </c>
      <c r="B821" s="37" t="s">
        <v>2483</v>
      </c>
      <c r="C821" s="37" t="s">
        <v>2525</v>
      </c>
      <c r="D821" s="37" t="s">
        <v>2526</v>
      </c>
      <c r="E821" s="37">
        <v>3</v>
      </c>
      <c r="F821" s="37" t="s">
        <v>77</v>
      </c>
      <c r="G821" s="37" t="s">
        <v>77</v>
      </c>
      <c r="H821" s="37" t="s">
        <v>77</v>
      </c>
      <c r="I821" s="37" t="s">
        <v>77</v>
      </c>
      <c r="J821" s="37" t="s">
        <v>77</v>
      </c>
      <c r="K821" s="37" t="s">
        <v>77</v>
      </c>
      <c r="L821" s="37" t="s">
        <v>77</v>
      </c>
      <c r="M821" s="37" t="s">
        <v>77</v>
      </c>
      <c r="N821" s="37" t="s">
        <v>77</v>
      </c>
      <c r="O821" s="37" t="s">
        <v>77</v>
      </c>
      <c r="P821" s="37" t="s">
        <v>77</v>
      </c>
      <c r="Q821" s="37" t="s">
        <v>2527</v>
      </c>
    </row>
    <row r="822" spans="1:17" ht="15">
      <c r="A822">
        <v>820</v>
      </c>
      <c r="B822" s="37" t="s">
        <v>2483</v>
      </c>
      <c r="C822" s="37" t="s">
        <v>2528</v>
      </c>
      <c r="D822" s="37" t="s">
        <v>2529</v>
      </c>
      <c r="E822" s="37">
        <v>3</v>
      </c>
      <c r="F822" s="37" t="s">
        <v>77</v>
      </c>
      <c r="G822" s="37" t="s">
        <v>77</v>
      </c>
      <c r="H822" s="37" t="s">
        <v>77</v>
      </c>
      <c r="I822" s="37" t="s">
        <v>77</v>
      </c>
      <c r="J822" s="37" t="s">
        <v>77</v>
      </c>
      <c r="K822" s="37" t="s">
        <v>77</v>
      </c>
      <c r="L822" s="37" t="s">
        <v>77</v>
      </c>
      <c r="M822" s="37" t="s">
        <v>77</v>
      </c>
      <c r="N822" s="37" t="s">
        <v>77</v>
      </c>
      <c r="O822" s="37" t="s">
        <v>77</v>
      </c>
      <c r="P822" s="37" t="s">
        <v>77</v>
      </c>
      <c r="Q822" s="37" t="s">
        <v>2530</v>
      </c>
    </row>
    <row r="823" spans="1:17" ht="15">
      <c r="A823">
        <v>821</v>
      </c>
      <c r="B823" s="37" t="s">
        <v>2483</v>
      </c>
      <c r="C823" s="37" t="s">
        <v>2531</v>
      </c>
      <c r="D823" s="37" t="s">
        <v>2532</v>
      </c>
      <c r="E823" s="37">
        <v>3</v>
      </c>
      <c r="F823" s="37" t="s">
        <v>77</v>
      </c>
      <c r="G823" s="37" t="s">
        <v>77</v>
      </c>
      <c r="H823" s="37" t="s">
        <v>77</v>
      </c>
      <c r="I823" s="37" t="s">
        <v>77</v>
      </c>
      <c r="J823" s="37" t="s">
        <v>77</v>
      </c>
      <c r="K823" s="37" t="s">
        <v>77</v>
      </c>
      <c r="L823" s="37" t="s">
        <v>77</v>
      </c>
      <c r="M823" s="37" t="s">
        <v>77</v>
      </c>
      <c r="N823" s="37" t="s">
        <v>77</v>
      </c>
      <c r="O823" s="37" t="s">
        <v>77</v>
      </c>
      <c r="P823" s="37" t="s">
        <v>77</v>
      </c>
      <c r="Q823" s="37" t="s">
        <v>2533</v>
      </c>
    </row>
    <row r="824" spans="1:17" ht="15">
      <c r="A824">
        <v>822</v>
      </c>
      <c r="B824" s="37" t="s">
        <v>2483</v>
      </c>
      <c r="C824" s="37" t="s">
        <v>2534</v>
      </c>
      <c r="D824" s="37" t="s">
        <v>2535</v>
      </c>
      <c r="E824" s="37">
        <v>3</v>
      </c>
      <c r="F824" s="37" t="s">
        <v>77</v>
      </c>
      <c r="G824" s="37" t="s">
        <v>77</v>
      </c>
      <c r="H824" s="37" t="s">
        <v>77</v>
      </c>
      <c r="I824" s="37" t="s">
        <v>77</v>
      </c>
      <c r="J824" s="37" t="s">
        <v>77</v>
      </c>
      <c r="K824" s="37" t="s">
        <v>77</v>
      </c>
      <c r="L824" s="37" t="s">
        <v>77</v>
      </c>
      <c r="M824" s="37" t="s">
        <v>77</v>
      </c>
      <c r="N824" s="37" t="s">
        <v>77</v>
      </c>
      <c r="O824" s="37" t="s">
        <v>77</v>
      </c>
      <c r="P824" s="37" t="s">
        <v>77</v>
      </c>
      <c r="Q824" s="37" t="s">
        <v>2536</v>
      </c>
    </row>
    <row r="825" spans="1:17" ht="15">
      <c r="A825">
        <v>823</v>
      </c>
      <c r="B825" s="37" t="s">
        <v>2483</v>
      </c>
      <c r="C825" s="37" t="s">
        <v>2537</v>
      </c>
      <c r="D825" s="37" t="s">
        <v>658</v>
      </c>
      <c r="E825" s="37">
        <v>3</v>
      </c>
      <c r="F825" s="37" t="s">
        <v>77</v>
      </c>
      <c r="G825" s="37" t="s">
        <v>77</v>
      </c>
      <c r="H825" s="37" t="s">
        <v>77</v>
      </c>
      <c r="I825" s="37" t="s">
        <v>77</v>
      </c>
      <c r="J825" s="37" t="s">
        <v>77</v>
      </c>
      <c r="K825" s="37" t="s">
        <v>77</v>
      </c>
      <c r="L825" s="37" t="s">
        <v>77</v>
      </c>
      <c r="M825" s="37" t="s">
        <v>77</v>
      </c>
      <c r="N825" s="37" t="s">
        <v>77</v>
      </c>
      <c r="O825" s="37" t="s">
        <v>77</v>
      </c>
      <c r="P825" s="37" t="s">
        <v>77</v>
      </c>
      <c r="Q825" s="37" t="s">
        <v>2538</v>
      </c>
    </row>
    <row r="826" spans="1:17" ht="15">
      <c r="A826">
        <v>824</v>
      </c>
      <c r="B826" s="37" t="s">
        <v>2483</v>
      </c>
      <c r="C826" s="37" t="s">
        <v>2539</v>
      </c>
      <c r="D826" s="37" t="s">
        <v>2414</v>
      </c>
      <c r="E826" s="37">
        <v>3</v>
      </c>
      <c r="F826" s="37" t="s">
        <v>77</v>
      </c>
      <c r="G826" s="37" t="s">
        <v>77</v>
      </c>
      <c r="H826" s="37" t="s">
        <v>77</v>
      </c>
      <c r="I826" s="37" t="s">
        <v>77</v>
      </c>
      <c r="J826" s="37" t="s">
        <v>77</v>
      </c>
      <c r="K826" s="37" t="s">
        <v>77</v>
      </c>
      <c r="L826" s="37" t="s">
        <v>77</v>
      </c>
      <c r="M826" s="37" t="s">
        <v>77</v>
      </c>
      <c r="N826" s="37" t="s">
        <v>77</v>
      </c>
      <c r="O826" s="37" t="s">
        <v>77</v>
      </c>
      <c r="P826" s="37" t="s">
        <v>77</v>
      </c>
      <c r="Q826" s="37" t="s">
        <v>2540</v>
      </c>
    </row>
    <row r="827" spans="1:17" ht="15">
      <c r="A827">
        <v>825</v>
      </c>
      <c r="B827" s="37" t="s">
        <v>2483</v>
      </c>
      <c r="C827" s="37" t="s">
        <v>2541</v>
      </c>
      <c r="D827" s="37" t="s">
        <v>2542</v>
      </c>
      <c r="E827" s="37">
        <v>3</v>
      </c>
      <c r="F827" s="37" t="s">
        <v>77</v>
      </c>
      <c r="G827" s="37" t="s">
        <v>77</v>
      </c>
      <c r="H827" s="37" t="s">
        <v>77</v>
      </c>
      <c r="I827" s="37" t="s">
        <v>77</v>
      </c>
      <c r="J827" s="37" t="s">
        <v>77</v>
      </c>
      <c r="K827" s="37" t="s">
        <v>77</v>
      </c>
      <c r="L827" s="37" t="s">
        <v>77</v>
      </c>
      <c r="M827" s="37" t="s">
        <v>77</v>
      </c>
      <c r="N827" s="37" t="s">
        <v>77</v>
      </c>
      <c r="O827" s="37" t="s">
        <v>77</v>
      </c>
      <c r="P827" s="37" t="s">
        <v>77</v>
      </c>
      <c r="Q827" s="37" t="s">
        <v>2543</v>
      </c>
    </row>
    <row r="828" spans="1:17" ht="15">
      <c r="A828">
        <v>826</v>
      </c>
      <c r="B828" s="37" t="s">
        <v>2483</v>
      </c>
      <c r="C828" s="37" t="s">
        <v>2544</v>
      </c>
      <c r="D828" s="37" t="s">
        <v>2545</v>
      </c>
      <c r="E828" s="37">
        <v>3</v>
      </c>
      <c r="F828" s="37" t="s">
        <v>77</v>
      </c>
      <c r="G828" s="37" t="s">
        <v>77</v>
      </c>
      <c r="H828" s="37" t="s">
        <v>77</v>
      </c>
      <c r="I828" s="37" t="s">
        <v>77</v>
      </c>
      <c r="J828" s="37" t="s">
        <v>77</v>
      </c>
      <c r="K828" s="37" t="s">
        <v>77</v>
      </c>
      <c r="L828" s="37" t="s">
        <v>77</v>
      </c>
      <c r="M828" s="37" t="s">
        <v>77</v>
      </c>
      <c r="N828" s="37" t="s">
        <v>77</v>
      </c>
      <c r="O828" s="37" t="s">
        <v>77</v>
      </c>
      <c r="P828" s="37" t="s">
        <v>77</v>
      </c>
      <c r="Q828" s="37" t="s">
        <v>2546</v>
      </c>
    </row>
    <row r="829" spans="1:17" ht="15">
      <c r="A829">
        <v>827</v>
      </c>
      <c r="B829" s="37" t="s">
        <v>2483</v>
      </c>
      <c r="C829" s="37" t="s">
        <v>2547</v>
      </c>
      <c r="D829" s="37" t="s">
        <v>2548</v>
      </c>
      <c r="E829" s="37">
        <v>3</v>
      </c>
      <c r="F829" s="37" t="s">
        <v>77</v>
      </c>
      <c r="G829" s="37" t="s">
        <v>77</v>
      </c>
      <c r="H829" s="37" t="s">
        <v>77</v>
      </c>
      <c r="I829" s="37" t="s">
        <v>77</v>
      </c>
      <c r="J829" s="37" t="s">
        <v>77</v>
      </c>
      <c r="K829" s="37" t="s">
        <v>77</v>
      </c>
      <c r="L829" s="37" t="s">
        <v>77</v>
      </c>
      <c r="M829" s="37" t="s">
        <v>77</v>
      </c>
      <c r="N829" s="37" t="s">
        <v>77</v>
      </c>
      <c r="O829" s="37" t="s">
        <v>77</v>
      </c>
      <c r="P829" s="37" t="s">
        <v>77</v>
      </c>
      <c r="Q829" s="37" t="s">
        <v>2549</v>
      </c>
    </row>
    <row r="830" spans="1:17" ht="15">
      <c r="A830">
        <v>828</v>
      </c>
      <c r="B830" s="37" t="s">
        <v>2483</v>
      </c>
      <c r="C830" s="37" t="s">
        <v>2550</v>
      </c>
      <c r="D830" s="37" t="s">
        <v>2551</v>
      </c>
      <c r="E830" s="37">
        <v>3</v>
      </c>
      <c r="F830" s="37" t="s">
        <v>77</v>
      </c>
      <c r="G830" s="37" t="s">
        <v>77</v>
      </c>
      <c r="H830" s="37" t="s">
        <v>77</v>
      </c>
      <c r="I830" s="37" t="s">
        <v>77</v>
      </c>
      <c r="J830" s="37" t="s">
        <v>77</v>
      </c>
      <c r="K830" s="37" t="s">
        <v>77</v>
      </c>
      <c r="L830" s="37" t="s">
        <v>77</v>
      </c>
      <c r="M830" s="37" t="s">
        <v>77</v>
      </c>
      <c r="N830" s="37" t="s">
        <v>77</v>
      </c>
      <c r="O830" s="37" t="s">
        <v>77</v>
      </c>
      <c r="P830" s="37" t="s">
        <v>77</v>
      </c>
      <c r="Q830" s="37" t="s">
        <v>2552</v>
      </c>
    </row>
    <row r="831" spans="1:17" ht="15">
      <c r="A831">
        <v>829</v>
      </c>
      <c r="B831" s="37" t="s">
        <v>2483</v>
      </c>
      <c r="C831" s="37" t="s">
        <v>2553</v>
      </c>
      <c r="D831" s="37" t="s">
        <v>2554</v>
      </c>
      <c r="E831" s="37">
        <v>3</v>
      </c>
      <c r="F831" s="37" t="s">
        <v>77</v>
      </c>
      <c r="G831" s="37" t="s">
        <v>77</v>
      </c>
      <c r="H831" s="37" t="s">
        <v>77</v>
      </c>
      <c r="I831" s="37" t="s">
        <v>77</v>
      </c>
      <c r="J831" s="37" t="s">
        <v>77</v>
      </c>
      <c r="K831" s="37" t="s">
        <v>77</v>
      </c>
      <c r="L831" s="37" t="s">
        <v>77</v>
      </c>
      <c r="M831" s="37" t="s">
        <v>77</v>
      </c>
      <c r="N831" s="37" t="s">
        <v>77</v>
      </c>
      <c r="O831" s="37" t="s">
        <v>77</v>
      </c>
      <c r="P831" s="37" t="s">
        <v>77</v>
      </c>
      <c r="Q831" s="37" t="s">
        <v>2555</v>
      </c>
    </row>
    <row r="832" spans="1:17" ht="15">
      <c r="A832">
        <v>830</v>
      </c>
      <c r="B832" s="37" t="s">
        <v>2483</v>
      </c>
      <c r="C832" s="37" t="s">
        <v>2556</v>
      </c>
      <c r="D832" s="37" t="s">
        <v>2557</v>
      </c>
      <c r="E832" s="37">
        <v>3</v>
      </c>
      <c r="F832" s="37" t="s">
        <v>77</v>
      </c>
      <c r="G832" s="37" t="s">
        <v>77</v>
      </c>
      <c r="H832" s="37" t="s">
        <v>77</v>
      </c>
      <c r="I832" s="37" t="s">
        <v>77</v>
      </c>
      <c r="J832" s="37" t="s">
        <v>77</v>
      </c>
      <c r="K832" s="37" t="s">
        <v>77</v>
      </c>
      <c r="L832" s="37" t="s">
        <v>77</v>
      </c>
      <c r="M832" s="37" t="s">
        <v>77</v>
      </c>
      <c r="N832" s="37" t="s">
        <v>77</v>
      </c>
      <c r="O832" s="37" t="s">
        <v>77</v>
      </c>
      <c r="P832" s="37" t="s">
        <v>77</v>
      </c>
      <c r="Q832" s="37" t="s">
        <v>2558</v>
      </c>
    </row>
    <row r="833" spans="1:17" ht="15">
      <c r="A833">
        <v>831</v>
      </c>
      <c r="B833" s="37" t="s">
        <v>2483</v>
      </c>
      <c r="C833" s="37" t="s">
        <v>2559</v>
      </c>
      <c r="D833" s="37" t="s">
        <v>2560</v>
      </c>
      <c r="E833" s="37">
        <v>3</v>
      </c>
      <c r="F833" s="37" t="s">
        <v>77</v>
      </c>
      <c r="G833" s="37" t="s">
        <v>77</v>
      </c>
      <c r="H833" s="37" t="s">
        <v>77</v>
      </c>
      <c r="I833" s="37" t="s">
        <v>77</v>
      </c>
      <c r="J833" s="37" t="s">
        <v>77</v>
      </c>
      <c r="K833" s="37" t="s">
        <v>77</v>
      </c>
      <c r="L833" s="37" t="s">
        <v>77</v>
      </c>
      <c r="M833" s="37" t="s">
        <v>77</v>
      </c>
      <c r="N833" s="37" t="s">
        <v>77</v>
      </c>
      <c r="O833" s="37" t="s">
        <v>77</v>
      </c>
      <c r="P833" s="37" t="s">
        <v>77</v>
      </c>
      <c r="Q833" s="37" t="s">
        <v>2561</v>
      </c>
    </row>
    <row r="834" spans="1:17" ht="15">
      <c r="A834">
        <v>832</v>
      </c>
      <c r="B834" s="37" t="s">
        <v>2562</v>
      </c>
      <c r="C834" s="37" t="s">
        <v>2563</v>
      </c>
      <c r="D834" s="37" t="s">
        <v>2564</v>
      </c>
      <c r="E834" s="37">
        <v>1</v>
      </c>
      <c r="F834" s="37" t="s">
        <v>77</v>
      </c>
      <c r="G834" s="37" t="s">
        <v>77</v>
      </c>
      <c r="H834" s="37" t="s">
        <v>77</v>
      </c>
      <c r="I834" s="37" t="s">
        <v>77</v>
      </c>
      <c r="J834" s="37" t="s">
        <v>77</v>
      </c>
      <c r="K834" s="37" t="s">
        <v>77</v>
      </c>
      <c r="L834" s="37" t="s">
        <v>77</v>
      </c>
      <c r="M834" s="37" t="s">
        <v>77</v>
      </c>
      <c r="N834" s="37" t="s">
        <v>77</v>
      </c>
      <c r="O834" s="37" t="s">
        <v>77</v>
      </c>
      <c r="P834" s="37" t="s">
        <v>77</v>
      </c>
      <c r="Q834" s="37" t="s">
        <v>2565</v>
      </c>
    </row>
    <row r="835" spans="1:17" ht="15">
      <c r="A835">
        <v>833</v>
      </c>
      <c r="B835" s="37" t="s">
        <v>2566</v>
      </c>
      <c r="C835" s="37" t="s">
        <v>2567</v>
      </c>
      <c r="D835" s="37" t="s">
        <v>2568</v>
      </c>
      <c r="E835" s="37">
        <v>3</v>
      </c>
      <c r="F835" s="37" t="s">
        <v>1613</v>
      </c>
      <c r="G835" s="37" t="s">
        <v>1613</v>
      </c>
      <c r="H835" s="37" t="s">
        <v>1613</v>
      </c>
      <c r="I835" s="37" t="s">
        <v>1613</v>
      </c>
      <c r="J835" s="37" t="s">
        <v>1613</v>
      </c>
      <c r="K835" s="37" t="s">
        <v>1613</v>
      </c>
      <c r="L835" s="37" t="s">
        <v>1613</v>
      </c>
      <c r="M835" s="37" t="s">
        <v>1613</v>
      </c>
      <c r="N835" s="37" t="s">
        <v>1613</v>
      </c>
      <c r="O835" s="37" t="s">
        <v>1613</v>
      </c>
      <c r="P835" s="37" t="s">
        <v>1613</v>
      </c>
      <c r="Q835" s="37" t="s">
        <v>2569</v>
      </c>
    </row>
    <row r="836" spans="1:17" ht="15">
      <c r="A836">
        <v>834</v>
      </c>
      <c r="B836" s="37" t="s">
        <v>2566</v>
      </c>
      <c r="C836" s="37" t="s">
        <v>2570</v>
      </c>
      <c r="D836" s="37" t="s">
        <v>2571</v>
      </c>
      <c r="E836" s="37">
        <v>3</v>
      </c>
      <c r="F836" s="37" t="s">
        <v>1613</v>
      </c>
      <c r="G836" s="37" t="s">
        <v>1613</v>
      </c>
      <c r="H836" s="37" t="s">
        <v>1613</v>
      </c>
      <c r="I836" s="37" t="s">
        <v>1613</v>
      </c>
      <c r="J836" s="37" t="s">
        <v>1613</v>
      </c>
      <c r="K836" s="37" t="s">
        <v>1613</v>
      </c>
      <c r="L836" s="37" t="s">
        <v>1613</v>
      </c>
      <c r="M836" s="37" t="s">
        <v>1613</v>
      </c>
      <c r="N836" s="37" t="s">
        <v>1613</v>
      </c>
      <c r="O836" s="37" t="s">
        <v>1613</v>
      </c>
      <c r="P836" s="37" t="s">
        <v>1613</v>
      </c>
      <c r="Q836" s="37" t="s">
        <v>2572</v>
      </c>
    </row>
    <row r="837" spans="1:17" ht="15">
      <c r="A837">
        <v>835</v>
      </c>
      <c r="B837" s="37" t="s">
        <v>2566</v>
      </c>
      <c r="C837" s="37" t="s">
        <v>2573</v>
      </c>
      <c r="D837" s="37" t="s">
        <v>2574</v>
      </c>
      <c r="E837" s="37">
        <v>3</v>
      </c>
      <c r="F837" s="37" t="s">
        <v>1613</v>
      </c>
      <c r="G837" s="37" t="s">
        <v>1613</v>
      </c>
      <c r="H837" s="37" t="s">
        <v>1613</v>
      </c>
      <c r="I837" s="37" t="s">
        <v>1613</v>
      </c>
      <c r="J837" s="37" t="s">
        <v>1613</v>
      </c>
      <c r="K837" s="37" t="s">
        <v>1613</v>
      </c>
      <c r="L837" s="37" t="s">
        <v>1613</v>
      </c>
      <c r="M837" s="37" t="s">
        <v>1613</v>
      </c>
      <c r="N837" s="37" t="s">
        <v>1613</v>
      </c>
      <c r="O837" s="37" t="s">
        <v>1613</v>
      </c>
      <c r="P837" s="37" t="s">
        <v>1613</v>
      </c>
      <c r="Q837" s="37" t="s">
        <v>2575</v>
      </c>
    </row>
    <row r="838" spans="1:17" ht="15">
      <c r="A838">
        <v>836</v>
      </c>
      <c r="B838" s="37" t="s">
        <v>2566</v>
      </c>
      <c r="C838" s="37" t="s">
        <v>2576</v>
      </c>
      <c r="D838" s="37" t="s">
        <v>2577</v>
      </c>
      <c r="E838" s="37">
        <v>3</v>
      </c>
      <c r="F838" s="37" t="s">
        <v>1613</v>
      </c>
      <c r="G838" s="37" t="s">
        <v>1613</v>
      </c>
      <c r="H838" s="37" t="s">
        <v>1613</v>
      </c>
      <c r="I838" s="37" t="s">
        <v>1613</v>
      </c>
      <c r="J838" s="37" t="s">
        <v>1613</v>
      </c>
      <c r="K838" s="37" t="s">
        <v>1613</v>
      </c>
      <c r="L838" s="37" t="s">
        <v>1613</v>
      </c>
      <c r="M838" s="37" t="s">
        <v>1613</v>
      </c>
      <c r="N838" s="37" t="s">
        <v>1613</v>
      </c>
      <c r="O838" s="37" t="s">
        <v>1613</v>
      </c>
      <c r="P838" s="37" t="s">
        <v>1613</v>
      </c>
      <c r="Q838" s="37" t="s">
        <v>2578</v>
      </c>
    </row>
    <row r="839" spans="1:17" ht="15">
      <c r="A839">
        <v>837</v>
      </c>
      <c r="B839" s="37" t="s">
        <v>2566</v>
      </c>
      <c r="C839" s="37" t="s">
        <v>2579</v>
      </c>
      <c r="D839" s="37" t="s">
        <v>2580</v>
      </c>
      <c r="E839" s="37">
        <v>3</v>
      </c>
      <c r="F839" s="37" t="s">
        <v>1613</v>
      </c>
      <c r="G839" s="37" t="s">
        <v>1613</v>
      </c>
      <c r="H839" s="37" t="s">
        <v>1613</v>
      </c>
      <c r="I839" s="37" t="s">
        <v>1613</v>
      </c>
      <c r="J839" s="37" t="s">
        <v>1613</v>
      </c>
      <c r="K839" s="37" t="s">
        <v>1613</v>
      </c>
      <c r="L839" s="37" t="s">
        <v>1613</v>
      </c>
      <c r="M839" s="37" t="s">
        <v>1613</v>
      </c>
      <c r="N839" s="37" t="s">
        <v>1613</v>
      </c>
      <c r="O839" s="37" t="s">
        <v>1613</v>
      </c>
      <c r="P839" s="37" t="s">
        <v>1613</v>
      </c>
      <c r="Q839" s="37" t="s">
        <v>2581</v>
      </c>
    </row>
    <row r="840" spans="1:17" ht="15">
      <c r="A840">
        <v>838</v>
      </c>
      <c r="B840" s="37" t="s">
        <v>2566</v>
      </c>
      <c r="C840" s="37" t="s">
        <v>2582</v>
      </c>
      <c r="D840" s="37" t="s">
        <v>2583</v>
      </c>
      <c r="E840" s="37">
        <v>3</v>
      </c>
      <c r="F840" s="37" t="s">
        <v>1613</v>
      </c>
      <c r="G840" s="37" t="s">
        <v>1613</v>
      </c>
      <c r="H840" s="37" t="s">
        <v>1613</v>
      </c>
      <c r="I840" s="37" t="s">
        <v>1613</v>
      </c>
      <c r="J840" s="37" t="s">
        <v>1613</v>
      </c>
      <c r="K840" s="37" t="s">
        <v>1613</v>
      </c>
      <c r="L840" s="37" t="s">
        <v>1613</v>
      </c>
      <c r="M840" s="37" t="s">
        <v>1613</v>
      </c>
      <c r="N840" s="37" t="s">
        <v>1613</v>
      </c>
      <c r="O840" s="37" t="s">
        <v>1613</v>
      </c>
      <c r="P840" s="37" t="s">
        <v>1613</v>
      </c>
      <c r="Q840" s="37" t="s">
        <v>2584</v>
      </c>
    </row>
    <row r="841" spans="1:17" ht="15">
      <c r="A841">
        <v>839</v>
      </c>
      <c r="B841" s="37" t="s">
        <v>2566</v>
      </c>
      <c r="C841" s="37" t="s">
        <v>2585</v>
      </c>
      <c r="D841" s="37" t="s">
        <v>2586</v>
      </c>
      <c r="E841" s="37">
        <v>3</v>
      </c>
      <c r="F841" s="37" t="s">
        <v>1613</v>
      </c>
      <c r="G841" s="37" t="s">
        <v>1613</v>
      </c>
      <c r="H841" s="37" t="s">
        <v>1613</v>
      </c>
      <c r="I841" s="37" t="s">
        <v>1613</v>
      </c>
      <c r="J841" s="37" t="s">
        <v>1613</v>
      </c>
      <c r="K841" s="37" t="s">
        <v>1613</v>
      </c>
      <c r="L841" s="37" t="s">
        <v>1613</v>
      </c>
      <c r="M841" s="37" t="s">
        <v>1613</v>
      </c>
      <c r="N841" s="37" t="s">
        <v>1613</v>
      </c>
      <c r="O841" s="37" t="s">
        <v>1613</v>
      </c>
      <c r="P841" s="37" t="s">
        <v>1613</v>
      </c>
      <c r="Q841" s="37" t="s">
        <v>2587</v>
      </c>
    </row>
    <row r="842" spans="1:17" ht="15">
      <c r="A842">
        <v>840</v>
      </c>
      <c r="B842" s="37" t="s">
        <v>2566</v>
      </c>
      <c r="C842" s="37" t="s">
        <v>2588</v>
      </c>
      <c r="D842" s="37" t="s">
        <v>2589</v>
      </c>
      <c r="E842" s="37">
        <v>3</v>
      </c>
      <c r="F842" s="37" t="s">
        <v>1613</v>
      </c>
      <c r="G842" s="37" t="s">
        <v>1613</v>
      </c>
      <c r="H842" s="37" t="s">
        <v>1613</v>
      </c>
      <c r="I842" s="37" t="s">
        <v>1613</v>
      </c>
      <c r="J842" s="37" t="s">
        <v>1613</v>
      </c>
      <c r="K842" s="37" t="s">
        <v>1613</v>
      </c>
      <c r="L842" s="37" t="s">
        <v>1613</v>
      </c>
      <c r="M842" s="37" t="s">
        <v>1613</v>
      </c>
      <c r="N842" s="37" t="s">
        <v>1613</v>
      </c>
      <c r="O842" s="37" t="s">
        <v>1613</v>
      </c>
      <c r="P842" s="37" t="s">
        <v>1613</v>
      </c>
      <c r="Q842" s="37" t="s">
        <v>2590</v>
      </c>
    </row>
    <row r="843" spans="1:17" ht="15">
      <c r="A843">
        <v>841</v>
      </c>
      <c r="B843" s="37" t="s">
        <v>2566</v>
      </c>
      <c r="C843" s="37" t="s">
        <v>2591</v>
      </c>
      <c r="D843" s="37" t="s">
        <v>2592</v>
      </c>
      <c r="E843" s="37">
        <v>3</v>
      </c>
      <c r="F843" s="37" t="s">
        <v>1613</v>
      </c>
      <c r="G843" s="37" t="s">
        <v>1613</v>
      </c>
      <c r="H843" s="37" t="s">
        <v>1613</v>
      </c>
      <c r="I843" s="37" t="s">
        <v>1613</v>
      </c>
      <c r="J843" s="37" t="s">
        <v>1613</v>
      </c>
      <c r="K843" s="37" t="s">
        <v>1613</v>
      </c>
      <c r="L843" s="37" t="s">
        <v>1613</v>
      </c>
      <c r="M843" s="37" t="s">
        <v>1613</v>
      </c>
      <c r="N843" s="37" t="s">
        <v>1613</v>
      </c>
      <c r="O843" s="37" t="s">
        <v>1613</v>
      </c>
      <c r="P843" s="37" t="s">
        <v>1613</v>
      </c>
      <c r="Q843" s="37" t="s">
        <v>2593</v>
      </c>
    </row>
    <row r="844" spans="1:17" ht="15">
      <c r="A844">
        <v>842</v>
      </c>
      <c r="B844" s="37" t="s">
        <v>2566</v>
      </c>
      <c r="C844" s="37" t="s">
        <v>2594</v>
      </c>
      <c r="D844" s="37" t="s">
        <v>2595</v>
      </c>
      <c r="E844" s="37">
        <v>3</v>
      </c>
      <c r="F844" s="37" t="s">
        <v>1613</v>
      </c>
      <c r="G844" s="37" t="s">
        <v>1613</v>
      </c>
      <c r="H844" s="37" t="s">
        <v>1613</v>
      </c>
      <c r="I844" s="37" t="s">
        <v>1613</v>
      </c>
      <c r="J844" s="37" t="s">
        <v>1613</v>
      </c>
      <c r="K844" s="37" t="s">
        <v>1613</v>
      </c>
      <c r="L844" s="37" t="s">
        <v>1613</v>
      </c>
      <c r="M844" s="37" t="s">
        <v>1613</v>
      </c>
      <c r="N844" s="37" t="s">
        <v>1613</v>
      </c>
      <c r="O844" s="37" t="s">
        <v>1613</v>
      </c>
      <c r="P844" s="37" t="s">
        <v>1613</v>
      </c>
      <c r="Q844" s="37" t="s">
        <v>2596</v>
      </c>
    </row>
    <row r="845" spans="1:17" ht="15">
      <c r="A845">
        <v>843</v>
      </c>
      <c r="B845" s="37" t="s">
        <v>2566</v>
      </c>
      <c r="C845" s="37" t="s">
        <v>2597</v>
      </c>
      <c r="D845" s="37" t="s">
        <v>2598</v>
      </c>
      <c r="E845" s="37">
        <v>3</v>
      </c>
      <c r="F845" s="37" t="s">
        <v>1613</v>
      </c>
      <c r="G845" s="37" t="s">
        <v>1613</v>
      </c>
      <c r="H845" s="37" t="s">
        <v>1613</v>
      </c>
      <c r="I845" s="37" t="s">
        <v>1613</v>
      </c>
      <c r="J845" s="37" t="s">
        <v>1613</v>
      </c>
      <c r="K845" s="37" t="s">
        <v>1613</v>
      </c>
      <c r="L845" s="37" t="s">
        <v>1613</v>
      </c>
      <c r="M845" s="37" t="s">
        <v>1613</v>
      </c>
      <c r="N845" s="37" t="s">
        <v>1613</v>
      </c>
      <c r="O845" s="37" t="s">
        <v>1613</v>
      </c>
      <c r="P845" s="37" t="s">
        <v>1613</v>
      </c>
      <c r="Q845" s="37" t="s">
        <v>2599</v>
      </c>
    </row>
    <row r="846" spans="1:17" ht="15">
      <c r="A846">
        <v>844</v>
      </c>
      <c r="B846" s="37" t="s">
        <v>2566</v>
      </c>
      <c r="C846" s="37" t="s">
        <v>2600</v>
      </c>
      <c r="D846" s="37" t="s">
        <v>2601</v>
      </c>
      <c r="E846" s="37">
        <v>3</v>
      </c>
      <c r="F846" s="37" t="s">
        <v>1613</v>
      </c>
      <c r="G846" s="37" t="s">
        <v>1613</v>
      </c>
      <c r="H846" s="37" t="s">
        <v>1613</v>
      </c>
      <c r="I846" s="37" t="s">
        <v>78</v>
      </c>
      <c r="J846" s="37" t="s">
        <v>1613</v>
      </c>
      <c r="K846" s="37" t="s">
        <v>1613</v>
      </c>
      <c r="L846" s="37" t="s">
        <v>1613</v>
      </c>
      <c r="M846" s="37" t="s">
        <v>1613</v>
      </c>
      <c r="N846" s="37" t="s">
        <v>78</v>
      </c>
      <c r="O846" s="37" t="s">
        <v>1613</v>
      </c>
      <c r="P846" s="37" t="s">
        <v>1613</v>
      </c>
      <c r="Q846" s="37" t="s">
        <v>2602</v>
      </c>
    </row>
    <row r="847" spans="1:17" ht="15">
      <c r="A847">
        <v>845</v>
      </c>
      <c r="B847" s="37" t="s">
        <v>2566</v>
      </c>
      <c r="C847" s="37" t="s">
        <v>2603</v>
      </c>
      <c r="D847" s="37" t="s">
        <v>2604</v>
      </c>
      <c r="E847" s="37">
        <v>3</v>
      </c>
      <c r="F847" s="37" t="s">
        <v>1613</v>
      </c>
      <c r="G847" s="37" t="s">
        <v>1613</v>
      </c>
      <c r="H847" s="37" t="s">
        <v>1613</v>
      </c>
      <c r="I847" s="37" t="s">
        <v>1613</v>
      </c>
      <c r="J847" s="37" t="s">
        <v>1613</v>
      </c>
      <c r="K847" s="37" t="s">
        <v>1613</v>
      </c>
      <c r="L847" s="37" t="s">
        <v>1613</v>
      </c>
      <c r="M847" s="37" t="s">
        <v>1613</v>
      </c>
      <c r="N847" s="37" t="s">
        <v>1613</v>
      </c>
      <c r="O847" s="37" t="s">
        <v>1613</v>
      </c>
      <c r="P847" s="37" t="s">
        <v>1613</v>
      </c>
      <c r="Q847" s="37" t="s">
        <v>2605</v>
      </c>
    </row>
    <row r="848" spans="1:17" ht="15">
      <c r="A848">
        <v>846</v>
      </c>
      <c r="B848" s="37" t="s">
        <v>2566</v>
      </c>
      <c r="C848" s="37" t="s">
        <v>2606</v>
      </c>
      <c r="D848" s="37" t="s">
        <v>2607</v>
      </c>
      <c r="E848" s="37">
        <v>3</v>
      </c>
      <c r="F848" s="37" t="s">
        <v>1613</v>
      </c>
      <c r="G848" s="37" t="s">
        <v>1613</v>
      </c>
      <c r="H848" s="37" t="s">
        <v>1613</v>
      </c>
      <c r="I848" s="37" t="s">
        <v>1613</v>
      </c>
      <c r="J848" s="37" t="s">
        <v>1613</v>
      </c>
      <c r="K848" s="37" t="s">
        <v>1613</v>
      </c>
      <c r="L848" s="37" t="s">
        <v>1613</v>
      </c>
      <c r="M848" s="37" t="s">
        <v>1613</v>
      </c>
      <c r="N848" s="37" t="s">
        <v>1613</v>
      </c>
      <c r="O848" s="37" t="s">
        <v>1613</v>
      </c>
      <c r="P848" s="37" t="s">
        <v>1613</v>
      </c>
      <c r="Q848" s="37" t="s">
        <v>2608</v>
      </c>
    </row>
    <row r="849" spans="1:17" ht="15">
      <c r="A849">
        <v>847</v>
      </c>
      <c r="B849" s="37" t="s">
        <v>2566</v>
      </c>
      <c r="C849" s="37" t="s">
        <v>2609</v>
      </c>
      <c r="D849" s="37" t="s">
        <v>2610</v>
      </c>
      <c r="E849" s="37">
        <v>3</v>
      </c>
      <c r="F849" s="37" t="s">
        <v>1613</v>
      </c>
      <c r="G849" s="37" t="s">
        <v>1613</v>
      </c>
      <c r="H849" s="37" t="s">
        <v>1613</v>
      </c>
      <c r="I849" s="37" t="s">
        <v>1613</v>
      </c>
      <c r="J849" s="37" t="s">
        <v>1613</v>
      </c>
      <c r="K849" s="37" t="s">
        <v>1613</v>
      </c>
      <c r="L849" s="37" t="s">
        <v>1613</v>
      </c>
      <c r="M849" s="37" t="s">
        <v>1613</v>
      </c>
      <c r="N849" s="37" t="s">
        <v>1613</v>
      </c>
      <c r="O849" s="37" t="s">
        <v>1613</v>
      </c>
      <c r="P849" s="37" t="s">
        <v>1613</v>
      </c>
      <c r="Q849" s="37" t="s">
        <v>2611</v>
      </c>
    </row>
    <row r="850" spans="1:17" ht="15">
      <c r="A850">
        <v>848</v>
      </c>
      <c r="B850" s="37" t="s">
        <v>2566</v>
      </c>
      <c r="C850" s="37" t="s">
        <v>2612</v>
      </c>
      <c r="D850" s="37" t="s">
        <v>2613</v>
      </c>
      <c r="E850" s="37">
        <v>3</v>
      </c>
      <c r="F850" s="37" t="s">
        <v>1613</v>
      </c>
      <c r="G850" s="37" t="s">
        <v>1613</v>
      </c>
      <c r="H850" s="37" t="s">
        <v>1613</v>
      </c>
      <c r="I850" s="37" t="s">
        <v>1613</v>
      </c>
      <c r="J850" s="37" t="s">
        <v>1613</v>
      </c>
      <c r="K850" s="37" t="s">
        <v>1613</v>
      </c>
      <c r="L850" s="37" t="s">
        <v>1613</v>
      </c>
      <c r="M850" s="37" t="s">
        <v>1613</v>
      </c>
      <c r="N850" s="37" t="s">
        <v>1613</v>
      </c>
      <c r="O850" s="37" t="s">
        <v>1613</v>
      </c>
      <c r="P850" s="37" t="s">
        <v>1613</v>
      </c>
      <c r="Q850" s="37" t="s">
        <v>2614</v>
      </c>
    </row>
    <row r="851" spans="1:17" ht="15">
      <c r="A851">
        <v>849</v>
      </c>
      <c r="B851" s="37" t="s">
        <v>2566</v>
      </c>
      <c r="C851" s="37" t="s">
        <v>2615</v>
      </c>
      <c r="D851" s="37" t="s">
        <v>2616</v>
      </c>
      <c r="E851" s="37">
        <v>3</v>
      </c>
      <c r="F851" s="37" t="s">
        <v>1613</v>
      </c>
      <c r="G851" s="37" t="s">
        <v>1613</v>
      </c>
      <c r="H851" s="37" t="s">
        <v>1613</v>
      </c>
      <c r="I851" s="37" t="s">
        <v>78</v>
      </c>
      <c r="J851" s="37" t="s">
        <v>78</v>
      </c>
      <c r="K851" s="37" t="s">
        <v>1613</v>
      </c>
      <c r="L851" s="37" t="s">
        <v>1613</v>
      </c>
      <c r="M851" s="37" t="s">
        <v>1613</v>
      </c>
      <c r="N851" s="37" t="s">
        <v>78</v>
      </c>
      <c r="O851" s="37" t="s">
        <v>1613</v>
      </c>
      <c r="P851" s="37" t="s">
        <v>1613</v>
      </c>
      <c r="Q851" s="37" t="s">
        <v>2617</v>
      </c>
    </row>
    <row r="852" spans="1:17" ht="15">
      <c r="A852">
        <v>850</v>
      </c>
      <c r="B852" s="37" t="s">
        <v>2566</v>
      </c>
      <c r="C852" s="37" t="s">
        <v>2618</v>
      </c>
      <c r="D852" s="37" t="s">
        <v>2619</v>
      </c>
      <c r="E852" s="37">
        <v>3</v>
      </c>
      <c r="F852" s="37" t="s">
        <v>1613</v>
      </c>
      <c r="G852" s="37" t="s">
        <v>1613</v>
      </c>
      <c r="H852" s="37" t="s">
        <v>1613</v>
      </c>
      <c r="I852" s="37" t="s">
        <v>1613</v>
      </c>
      <c r="J852" s="37" t="s">
        <v>1613</v>
      </c>
      <c r="K852" s="37" t="s">
        <v>1613</v>
      </c>
      <c r="L852" s="37" t="s">
        <v>1613</v>
      </c>
      <c r="M852" s="37" t="s">
        <v>1613</v>
      </c>
      <c r="N852" s="37" t="s">
        <v>1613</v>
      </c>
      <c r="O852" s="37" t="s">
        <v>1613</v>
      </c>
      <c r="P852" s="37" t="s">
        <v>1613</v>
      </c>
      <c r="Q852" s="37" t="s">
        <v>2620</v>
      </c>
    </row>
    <row r="853" spans="1:17" ht="15">
      <c r="A853">
        <v>851</v>
      </c>
      <c r="B853" s="37" t="s">
        <v>2566</v>
      </c>
      <c r="C853" s="37" t="s">
        <v>2621</v>
      </c>
      <c r="D853" s="37" t="s">
        <v>2622</v>
      </c>
      <c r="E853" s="37">
        <v>3</v>
      </c>
      <c r="F853" s="37" t="s">
        <v>1613</v>
      </c>
      <c r="G853" s="37" t="s">
        <v>1613</v>
      </c>
      <c r="H853" s="37" t="s">
        <v>1613</v>
      </c>
      <c r="I853" s="37" t="s">
        <v>1613</v>
      </c>
      <c r="J853" s="37" t="s">
        <v>1613</v>
      </c>
      <c r="K853" s="37" t="s">
        <v>1613</v>
      </c>
      <c r="L853" s="37" t="s">
        <v>1613</v>
      </c>
      <c r="M853" s="37" t="s">
        <v>1613</v>
      </c>
      <c r="N853" s="37" t="s">
        <v>1613</v>
      </c>
      <c r="O853" s="37" t="s">
        <v>1613</v>
      </c>
      <c r="P853" s="37" t="s">
        <v>1613</v>
      </c>
      <c r="Q853" s="37" t="s">
        <v>2623</v>
      </c>
    </row>
    <row r="854" spans="1:17" ht="15">
      <c r="A854">
        <v>852</v>
      </c>
      <c r="B854" s="37" t="s">
        <v>2566</v>
      </c>
      <c r="C854" s="37" t="s">
        <v>2624</v>
      </c>
      <c r="D854" s="37" t="s">
        <v>2625</v>
      </c>
      <c r="E854" s="37">
        <v>3</v>
      </c>
      <c r="F854" s="37" t="s">
        <v>1613</v>
      </c>
      <c r="G854" s="37" t="s">
        <v>1613</v>
      </c>
      <c r="H854" s="37" t="s">
        <v>1613</v>
      </c>
      <c r="I854" s="37" t="s">
        <v>1613</v>
      </c>
      <c r="J854" s="37" t="s">
        <v>1613</v>
      </c>
      <c r="K854" s="37" t="s">
        <v>1613</v>
      </c>
      <c r="L854" s="37" t="s">
        <v>1613</v>
      </c>
      <c r="M854" s="37" t="s">
        <v>1613</v>
      </c>
      <c r="N854" s="37" t="s">
        <v>1613</v>
      </c>
      <c r="O854" s="37" t="s">
        <v>1613</v>
      </c>
      <c r="P854" s="37" t="s">
        <v>1613</v>
      </c>
      <c r="Q854" s="37" t="s">
        <v>2626</v>
      </c>
    </row>
    <row r="855" spans="1:17" ht="15">
      <c r="A855">
        <v>853</v>
      </c>
      <c r="B855" s="37" t="s">
        <v>2566</v>
      </c>
      <c r="C855" s="37" t="s">
        <v>2627</v>
      </c>
      <c r="D855" s="37" t="s">
        <v>2628</v>
      </c>
      <c r="E855" s="37">
        <v>3</v>
      </c>
      <c r="F855" s="37" t="s">
        <v>1613</v>
      </c>
      <c r="G855" s="37" t="s">
        <v>1613</v>
      </c>
      <c r="H855" s="37" t="s">
        <v>1613</v>
      </c>
      <c r="I855" s="37" t="s">
        <v>1613</v>
      </c>
      <c r="J855" s="37" t="s">
        <v>1613</v>
      </c>
      <c r="K855" s="37" t="s">
        <v>1613</v>
      </c>
      <c r="L855" s="37" t="s">
        <v>1613</v>
      </c>
      <c r="M855" s="37" t="s">
        <v>1613</v>
      </c>
      <c r="N855" s="37" t="s">
        <v>1613</v>
      </c>
      <c r="O855" s="37" t="s">
        <v>1613</v>
      </c>
      <c r="P855" s="37" t="s">
        <v>1613</v>
      </c>
      <c r="Q855" s="37" t="s">
        <v>2629</v>
      </c>
    </row>
    <row r="856" spans="1:17" ht="15">
      <c r="A856">
        <v>854</v>
      </c>
      <c r="B856" s="37" t="s">
        <v>2566</v>
      </c>
      <c r="C856" s="37" t="s">
        <v>2630</v>
      </c>
      <c r="D856" s="37" t="s">
        <v>2631</v>
      </c>
      <c r="E856" s="37">
        <v>3</v>
      </c>
      <c r="F856" s="37" t="s">
        <v>1613</v>
      </c>
      <c r="G856" s="37" t="s">
        <v>1613</v>
      </c>
      <c r="H856" s="37" t="s">
        <v>1613</v>
      </c>
      <c r="I856" s="37" t="s">
        <v>1613</v>
      </c>
      <c r="J856" s="37" t="s">
        <v>1613</v>
      </c>
      <c r="K856" s="37" t="s">
        <v>1613</v>
      </c>
      <c r="L856" s="37" t="s">
        <v>1613</v>
      </c>
      <c r="M856" s="37" t="s">
        <v>1613</v>
      </c>
      <c r="N856" s="37" t="s">
        <v>1613</v>
      </c>
      <c r="O856" s="37" t="s">
        <v>1613</v>
      </c>
      <c r="P856" s="37" t="s">
        <v>1613</v>
      </c>
      <c r="Q856" s="37" t="s">
        <v>2632</v>
      </c>
    </row>
    <row r="857" spans="1:17" ht="15">
      <c r="A857">
        <v>855</v>
      </c>
      <c r="B857" s="37" t="s">
        <v>2566</v>
      </c>
      <c r="C857" s="37" t="s">
        <v>2633</v>
      </c>
      <c r="D857" s="37" t="s">
        <v>2634</v>
      </c>
      <c r="E857" s="37">
        <v>3</v>
      </c>
      <c r="F857" s="37" t="s">
        <v>1613</v>
      </c>
      <c r="G857" s="37" t="s">
        <v>1613</v>
      </c>
      <c r="H857" s="37" t="s">
        <v>1613</v>
      </c>
      <c r="I857" s="37" t="s">
        <v>1613</v>
      </c>
      <c r="J857" s="37" t="s">
        <v>1613</v>
      </c>
      <c r="K857" s="37" t="s">
        <v>1613</v>
      </c>
      <c r="L857" s="37" t="s">
        <v>1613</v>
      </c>
      <c r="M857" s="37" t="s">
        <v>1613</v>
      </c>
      <c r="N857" s="37" t="s">
        <v>1613</v>
      </c>
      <c r="O857" s="37" t="s">
        <v>1613</v>
      </c>
      <c r="P857" s="37" t="s">
        <v>1613</v>
      </c>
      <c r="Q857" s="37" t="s">
        <v>2635</v>
      </c>
    </row>
    <row r="858" spans="1:17" ht="15">
      <c r="A858">
        <v>856</v>
      </c>
      <c r="B858" s="37" t="s">
        <v>2566</v>
      </c>
      <c r="C858" s="37" t="s">
        <v>2636</v>
      </c>
      <c r="D858" s="37" t="s">
        <v>2637</v>
      </c>
      <c r="E858" s="37">
        <v>3</v>
      </c>
      <c r="F858" s="37" t="s">
        <v>1613</v>
      </c>
      <c r="G858" s="37" t="s">
        <v>1613</v>
      </c>
      <c r="H858" s="37" t="s">
        <v>1613</v>
      </c>
      <c r="I858" s="37" t="s">
        <v>1613</v>
      </c>
      <c r="J858" s="37" t="s">
        <v>1613</v>
      </c>
      <c r="K858" s="37" t="s">
        <v>1613</v>
      </c>
      <c r="L858" s="37" t="s">
        <v>1613</v>
      </c>
      <c r="M858" s="37" t="s">
        <v>1613</v>
      </c>
      <c r="N858" s="37" t="s">
        <v>1613</v>
      </c>
      <c r="O858" s="37" t="s">
        <v>1613</v>
      </c>
      <c r="P858" s="37" t="s">
        <v>1613</v>
      </c>
      <c r="Q858" s="37" t="s">
        <v>2638</v>
      </c>
    </row>
    <row r="859" spans="1:17" ht="15">
      <c r="A859">
        <v>857</v>
      </c>
      <c r="B859" s="37" t="s">
        <v>2566</v>
      </c>
      <c r="C859" s="37" t="s">
        <v>2639</v>
      </c>
      <c r="D859" s="37" t="s">
        <v>2640</v>
      </c>
      <c r="E859" s="37">
        <v>3</v>
      </c>
      <c r="F859" s="37" t="s">
        <v>1613</v>
      </c>
      <c r="G859" s="37" t="s">
        <v>1613</v>
      </c>
      <c r="H859" s="37" t="s">
        <v>1613</v>
      </c>
      <c r="I859" s="37" t="s">
        <v>1613</v>
      </c>
      <c r="J859" s="37" t="s">
        <v>1613</v>
      </c>
      <c r="K859" s="37" t="s">
        <v>1613</v>
      </c>
      <c r="L859" s="37" t="s">
        <v>1613</v>
      </c>
      <c r="M859" s="37" t="s">
        <v>1613</v>
      </c>
      <c r="N859" s="37" t="s">
        <v>1613</v>
      </c>
      <c r="O859" s="37" t="s">
        <v>1613</v>
      </c>
      <c r="P859" s="37" t="s">
        <v>1613</v>
      </c>
      <c r="Q859" s="37" t="s">
        <v>2641</v>
      </c>
    </row>
    <row r="860" spans="1:17" ht="15">
      <c r="A860">
        <v>858</v>
      </c>
      <c r="B860" s="37" t="s">
        <v>2566</v>
      </c>
      <c r="C860" s="37" t="s">
        <v>2642</v>
      </c>
      <c r="D860" s="37" t="s">
        <v>2643</v>
      </c>
      <c r="E860" s="37">
        <v>3</v>
      </c>
      <c r="F860" s="37" t="s">
        <v>1613</v>
      </c>
      <c r="G860" s="37" t="s">
        <v>1613</v>
      </c>
      <c r="H860" s="37" t="s">
        <v>1613</v>
      </c>
      <c r="I860" s="37" t="s">
        <v>1613</v>
      </c>
      <c r="J860" s="37" t="s">
        <v>1613</v>
      </c>
      <c r="K860" s="37" t="s">
        <v>1613</v>
      </c>
      <c r="L860" s="37" t="s">
        <v>1613</v>
      </c>
      <c r="M860" s="37" t="s">
        <v>1613</v>
      </c>
      <c r="N860" s="37" t="s">
        <v>1613</v>
      </c>
      <c r="O860" s="37" t="s">
        <v>1613</v>
      </c>
      <c r="P860" s="37" t="s">
        <v>1613</v>
      </c>
      <c r="Q860" s="37" t="s">
        <v>680</v>
      </c>
    </row>
    <row r="861" spans="1:17" ht="15">
      <c r="A861">
        <v>859</v>
      </c>
      <c r="B861" s="37" t="s">
        <v>2566</v>
      </c>
      <c r="C861" s="37" t="s">
        <v>2644</v>
      </c>
      <c r="D861" s="37" t="s">
        <v>2645</v>
      </c>
      <c r="E861" s="37">
        <v>3</v>
      </c>
      <c r="F861" s="37" t="s">
        <v>1613</v>
      </c>
      <c r="G861" s="37" t="s">
        <v>1613</v>
      </c>
      <c r="H861" s="37" t="s">
        <v>1613</v>
      </c>
      <c r="I861" s="37" t="s">
        <v>1613</v>
      </c>
      <c r="J861" s="37" t="s">
        <v>1613</v>
      </c>
      <c r="K861" s="37" t="s">
        <v>1613</v>
      </c>
      <c r="L861" s="37" t="s">
        <v>1613</v>
      </c>
      <c r="M861" s="37" t="s">
        <v>1613</v>
      </c>
      <c r="N861" s="37" t="s">
        <v>1613</v>
      </c>
      <c r="O861" s="37" t="s">
        <v>1613</v>
      </c>
      <c r="P861" s="37" t="s">
        <v>1613</v>
      </c>
      <c r="Q861" s="37" t="s">
        <v>2646</v>
      </c>
    </row>
    <row r="862" spans="1:17" ht="15">
      <c r="A862">
        <v>860</v>
      </c>
      <c r="B862" s="37" t="s">
        <v>2566</v>
      </c>
      <c r="C862" s="37" t="s">
        <v>2647</v>
      </c>
      <c r="D862" s="37" t="s">
        <v>2648</v>
      </c>
      <c r="E862" s="37">
        <v>3</v>
      </c>
      <c r="F862" s="37" t="s">
        <v>1613</v>
      </c>
      <c r="G862" s="37" t="s">
        <v>1613</v>
      </c>
      <c r="H862" s="37" t="s">
        <v>1613</v>
      </c>
      <c r="I862" s="37" t="s">
        <v>1613</v>
      </c>
      <c r="J862" s="37" t="s">
        <v>1613</v>
      </c>
      <c r="K862" s="37" t="s">
        <v>1613</v>
      </c>
      <c r="L862" s="37" t="s">
        <v>1613</v>
      </c>
      <c r="M862" s="37" t="s">
        <v>1613</v>
      </c>
      <c r="N862" s="37" t="s">
        <v>1613</v>
      </c>
      <c r="O862" s="37" t="s">
        <v>1613</v>
      </c>
      <c r="P862" s="37" t="s">
        <v>1613</v>
      </c>
      <c r="Q862" s="37" t="s">
        <v>2649</v>
      </c>
    </row>
    <row r="863" spans="1:17" ht="15">
      <c r="A863">
        <v>861</v>
      </c>
      <c r="B863" s="37" t="s">
        <v>2566</v>
      </c>
      <c r="C863" s="37" t="s">
        <v>2650</v>
      </c>
      <c r="D863" s="37" t="s">
        <v>2651</v>
      </c>
      <c r="E863" s="37">
        <v>3</v>
      </c>
      <c r="F863" s="37" t="s">
        <v>1613</v>
      </c>
      <c r="G863" s="37" t="s">
        <v>1613</v>
      </c>
      <c r="H863" s="37" t="s">
        <v>1613</v>
      </c>
      <c r="I863" s="37" t="s">
        <v>1613</v>
      </c>
      <c r="J863" s="37" t="s">
        <v>1613</v>
      </c>
      <c r="K863" s="37" t="s">
        <v>1613</v>
      </c>
      <c r="L863" s="37" t="s">
        <v>1613</v>
      </c>
      <c r="M863" s="37" t="s">
        <v>1613</v>
      </c>
      <c r="N863" s="37" t="s">
        <v>1613</v>
      </c>
      <c r="O863" s="37" t="s">
        <v>1613</v>
      </c>
      <c r="P863" s="37" t="s">
        <v>1613</v>
      </c>
      <c r="Q863" s="37" t="s">
        <v>2652</v>
      </c>
    </row>
    <row r="864" spans="1:17" ht="15">
      <c r="A864">
        <v>862</v>
      </c>
      <c r="B864" s="37" t="s">
        <v>2566</v>
      </c>
      <c r="C864" s="37" t="s">
        <v>2653</v>
      </c>
      <c r="D864" s="37" t="s">
        <v>2654</v>
      </c>
      <c r="E864" s="37">
        <v>3</v>
      </c>
      <c r="F864" s="37" t="s">
        <v>1613</v>
      </c>
      <c r="G864" s="37" t="s">
        <v>1613</v>
      </c>
      <c r="H864" s="37" t="s">
        <v>1613</v>
      </c>
      <c r="I864" s="37" t="s">
        <v>1613</v>
      </c>
      <c r="J864" s="37" t="s">
        <v>1613</v>
      </c>
      <c r="K864" s="37" t="s">
        <v>1613</v>
      </c>
      <c r="L864" s="37" t="s">
        <v>1613</v>
      </c>
      <c r="M864" s="37" t="s">
        <v>1613</v>
      </c>
      <c r="N864" s="37" t="s">
        <v>1613</v>
      </c>
      <c r="O864" s="37" t="s">
        <v>1613</v>
      </c>
      <c r="P864" s="37" t="s">
        <v>1613</v>
      </c>
      <c r="Q864" s="37" t="s">
        <v>2655</v>
      </c>
    </row>
    <row r="865" spans="1:17" ht="15">
      <c r="A865">
        <v>863</v>
      </c>
      <c r="B865" s="37" t="s">
        <v>2566</v>
      </c>
      <c r="C865" s="37" t="s">
        <v>2656</v>
      </c>
      <c r="D865" s="37" t="s">
        <v>2657</v>
      </c>
      <c r="E865" s="37">
        <v>3</v>
      </c>
      <c r="F865" s="37" t="s">
        <v>1613</v>
      </c>
      <c r="G865" s="37" t="s">
        <v>1613</v>
      </c>
      <c r="H865" s="37" t="s">
        <v>1613</v>
      </c>
      <c r="I865" s="37" t="s">
        <v>1613</v>
      </c>
      <c r="J865" s="37" t="s">
        <v>1613</v>
      </c>
      <c r="K865" s="37" t="s">
        <v>1613</v>
      </c>
      <c r="L865" s="37" t="s">
        <v>1613</v>
      </c>
      <c r="M865" s="37" t="s">
        <v>1613</v>
      </c>
      <c r="N865" s="37" t="s">
        <v>1613</v>
      </c>
      <c r="O865" s="37" t="s">
        <v>1613</v>
      </c>
      <c r="P865" s="37" t="s">
        <v>1613</v>
      </c>
      <c r="Q865" s="37" t="s">
        <v>2658</v>
      </c>
    </row>
    <row r="866" spans="1:17" ht="15">
      <c r="A866">
        <v>864</v>
      </c>
      <c r="B866" s="37" t="s">
        <v>2566</v>
      </c>
      <c r="C866" s="37" t="s">
        <v>2659</v>
      </c>
      <c r="D866" s="37" t="s">
        <v>2660</v>
      </c>
      <c r="E866" s="37">
        <v>3</v>
      </c>
      <c r="F866" s="37" t="s">
        <v>1613</v>
      </c>
      <c r="G866" s="37" t="s">
        <v>1613</v>
      </c>
      <c r="H866" s="37" t="s">
        <v>1613</v>
      </c>
      <c r="I866" s="37" t="s">
        <v>1613</v>
      </c>
      <c r="J866" s="37" t="s">
        <v>1613</v>
      </c>
      <c r="K866" s="37" t="s">
        <v>1613</v>
      </c>
      <c r="L866" s="37" t="s">
        <v>1613</v>
      </c>
      <c r="M866" s="37" t="s">
        <v>1613</v>
      </c>
      <c r="N866" s="37" t="s">
        <v>1613</v>
      </c>
      <c r="O866" s="37" t="s">
        <v>1613</v>
      </c>
      <c r="P866" s="37" t="s">
        <v>1613</v>
      </c>
      <c r="Q866" s="37" t="s">
        <v>2661</v>
      </c>
    </row>
    <row r="867" spans="1:17" ht="15">
      <c r="A867">
        <v>865</v>
      </c>
      <c r="B867" s="37" t="s">
        <v>2566</v>
      </c>
      <c r="C867" s="37" t="s">
        <v>2662</v>
      </c>
      <c r="D867" s="37" t="s">
        <v>2663</v>
      </c>
      <c r="E867" s="37">
        <v>3</v>
      </c>
      <c r="F867" s="37" t="s">
        <v>1613</v>
      </c>
      <c r="G867" s="37" t="s">
        <v>1613</v>
      </c>
      <c r="H867" s="37" t="s">
        <v>1613</v>
      </c>
      <c r="I867" s="37" t="s">
        <v>1613</v>
      </c>
      <c r="J867" s="37" t="s">
        <v>1613</v>
      </c>
      <c r="K867" s="37" t="s">
        <v>1613</v>
      </c>
      <c r="L867" s="37" t="s">
        <v>1613</v>
      </c>
      <c r="M867" s="37" t="s">
        <v>1613</v>
      </c>
      <c r="N867" s="37" t="s">
        <v>1613</v>
      </c>
      <c r="O867" s="37" t="s">
        <v>1613</v>
      </c>
      <c r="P867" s="37" t="s">
        <v>1613</v>
      </c>
      <c r="Q867" s="37" t="s">
        <v>2664</v>
      </c>
    </row>
    <row r="868" spans="1:17" ht="15">
      <c r="A868">
        <v>866</v>
      </c>
      <c r="B868" s="37" t="s">
        <v>2566</v>
      </c>
      <c r="C868" s="37" t="s">
        <v>2665</v>
      </c>
      <c r="D868" s="37" t="s">
        <v>2666</v>
      </c>
      <c r="E868" s="37">
        <v>3</v>
      </c>
      <c r="F868" s="37" t="s">
        <v>1613</v>
      </c>
      <c r="G868" s="37" t="s">
        <v>1613</v>
      </c>
      <c r="H868" s="37" t="s">
        <v>1613</v>
      </c>
      <c r="I868" s="37" t="s">
        <v>1613</v>
      </c>
      <c r="J868" s="37" t="s">
        <v>1613</v>
      </c>
      <c r="K868" s="37" t="s">
        <v>1613</v>
      </c>
      <c r="L868" s="37" t="s">
        <v>1613</v>
      </c>
      <c r="M868" s="37" t="s">
        <v>1613</v>
      </c>
      <c r="N868" s="37" t="s">
        <v>1613</v>
      </c>
      <c r="O868" s="37" t="s">
        <v>1613</v>
      </c>
      <c r="P868" s="37" t="s">
        <v>1613</v>
      </c>
      <c r="Q868" s="37" t="s">
        <v>2667</v>
      </c>
    </row>
    <row r="869" spans="1:17" ht="15">
      <c r="A869">
        <v>867</v>
      </c>
      <c r="B869" s="37" t="s">
        <v>2566</v>
      </c>
      <c r="C869" s="37" t="s">
        <v>2668</v>
      </c>
      <c r="D869" s="37" t="s">
        <v>2669</v>
      </c>
      <c r="E869" s="37">
        <v>3</v>
      </c>
      <c r="F869" s="37" t="s">
        <v>1613</v>
      </c>
      <c r="G869" s="37" t="s">
        <v>1613</v>
      </c>
      <c r="H869" s="37" t="s">
        <v>1613</v>
      </c>
      <c r="I869" s="37" t="s">
        <v>1613</v>
      </c>
      <c r="J869" s="37" t="s">
        <v>1613</v>
      </c>
      <c r="K869" s="37" t="s">
        <v>1613</v>
      </c>
      <c r="L869" s="37" t="s">
        <v>1613</v>
      </c>
      <c r="M869" s="37" t="s">
        <v>1613</v>
      </c>
      <c r="N869" s="37" t="s">
        <v>1613</v>
      </c>
      <c r="O869" s="37" t="s">
        <v>1613</v>
      </c>
      <c r="P869" s="37" t="s">
        <v>1613</v>
      </c>
      <c r="Q869" s="37" t="s">
        <v>2670</v>
      </c>
    </row>
    <row r="870" spans="1:17" ht="15">
      <c r="A870">
        <v>868</v>
      </c>
      <c r="B870" s="37" t="s">
        <v>2566</v>
      </c>
      <c r="C870" s="37" t="s">
        <v>2671</v>
      </c>
      <c r="D870" s="37" t="s">
        <v>2672</v>
      </c>
      <c r="E870" s="37">
        <v>3</v>
      </c>
      <c r="F870" s="37" t="s">
        <v>1613</v>
      </c>
      <c r="G870" s="37" t="s">
        <v>1613</v>
      </c>
      <c r="H870" s="37" t="s">
        <v>1613</v>
      </c>
      <c r="I870" s="37" t="s">
        <v>1613</v>
      </c>
      <c r="J870" s="37" t="s">
        <v>1613</v>
      </c>
      <c r="K870" s="37" t="s">
        <v>1613</v>
      </c>
      <c r="L870" s="37" t="s">
        <v>1613</v>
      </c>
      <c r="M870" s="37" t="s">
        <v>1613</v>
      </c>
      <c r="N870" s="37" t="s">
        <v>1613</v>
      </c>
      <c r="O870" s="37" t="s">
        <v>1613</v>
      </c>
      <c r="P870" s="37" t="s">
        <v>1613</v>
      </c>
      <c r="Q870" s="37" t="s">
        <v>2673</v>
      </c>
    </row>
    <row r="871" spans="1:17" ht="15">
      <c r="A871">
        <v>869</v>
      </c>
      <c r="B871" s="37" t="s">
        <v>2566</v>
      </c>
      <c r="C871" s="37" t="s">
        <v>2674</v>
      </c>
      <c r="D871" s="37" t="s">
        <v>2675</v>
      </c>
      <c r="E871" s="37">
        <v>3</v>
      </c>
      <c r="F871" s="37" t="s">
        <v>1613</v>
      </c>
      <c r="G871" s="37" t="s">
        <v>1613</v>
      </c>
      <c r="H871" s="37" t="s">
        <v>1613</v>
      </c>
      <c r="I871" s="37" t="s">
        <v>1613</v>
      </c>
      <c r="J871" s="37" t="s">
        <v>1613</v>
      </c>
      <c r="K871" s="37" t="s">
        <v>1613</v>
      </c>
      <c r="L871" s="37" t="s">
        <v>1613</v>
      </c>
      <c r="M871" s="37" t="s">
        <v>1613</v>
      </c>
      <c r="N871" s="37" t="s">
        <v>1613</v>
      </c>
      <c r="O871" s="37" t="s">
        <v>1613</v>
      </c>
      <c r="P871" s="37" t="s">
        <v>1613</v>
      </c>
      <c r="Q871" s="37" t="s">
        <v>2676</v>
      </c>
    </row>
    <row r="872" spans="1:17" ht="15">
      <c r="A872">
        <v>870</v>
      </c>
      <c r="B872" s="37" t="s">
        <v>2566</v>
      </c>
      <c r="C872" s="37" t="s">
        <v>2677</v>
      </c>
      <c r="D872" s="37" t="s">
        <v>2678</v>
      </c>
      <c r="E872" s="37">
        <v>3</v>
      </c>
      <c r="F872" s="37" t="s">
        <v>1613</v>
      </c>
      <c r="G872" s="37" t="s">
        <v>1613</v>
      </c>
      <c r="H872" s="37" t="s">
        <v>1613</v>
      </c>
      <c r="I872" s="37" t="s">
        <v>1613</v>
      </c>
      <c r="J872" s="37" t="s">
        <v>1613</v>
      </c>
      <c r="K872" s="37" t="s">
        <v>1613</v>
      </c>
      <c r="L872" s="37" t="s">
        <v>1613</v>
      </c>
      <c r="M872" s="37" t="s">
        <v>1613</v>
      </c>
      <c r="N872" s="37" t="s">
        <v>1613</v>
      </c>
      <c r="O872" s="37" t="s">
        <v>1613</v>
      </c>
      <c r="P872" s="37" t="s">
        <v>1613</v>
      </c>
      <c r="Q872" s="37" t="s">
        <v>2679</v>
      </c>
    </row>
    <row r="873" spans="1:17" ht="15">
      <c r="A873">
        <v>871</v>
      </c>
      <c r="B873" s="37" t="s">
        <v>2566</v>
      </c>
      <c r="C873" s="37" t="s">
        <v>2680</v>
      </c>
      <c r="D873" s="37" t="s">
        <v>2681</v>
      </c>
      <c r="E873" s="37">
        <v>3</v>
      </c>
      <c r="F873" s="37" t="s">
        <v>1613</v>
      </c>
      <c r="G873" s="37" t="s">
        <v>1613</v>
      </c>
      <c r="H873" s="37" t="s">
        <v>1613</v>
      </c>
      <c r="I873" s="37" t="s">
        <v>1613</v>
      </c>
      <c r="J873" s="37" t="s">
        <v>1613</v>
      </c>
      <c r="K873" s="37" t="s">
        <v>1613</v>
      </c>
      <c r="L873" s="37" t="s">
        <v>1613</v>
      </c>
      <c r="M873" s="37" t="s">
        <v>1613</v>
      </c>
      <c r="N873" s="37" t="s">
        <v>1613</v>
      </c>
      <c r="O873" s="37" t="s">
        <v>1613</v>
      </c>
      <c r="P873" s="37" t="s">
        <v>1613</v>
      </c>
      <c r="Q873" s="37" t="s">
        <v>2682</v>
      </c>
    </row>
    <row r="874" spans="1:17" ht="15">
      <c r="A874">
        <v>872</v>
      </c>
      <c r="B874" s="37" t="s">
        <v>2683</v>
      </c>
      <c r="C874" s="37" t="s">
        <v>2684</v>
      </c>
      <c r="D874" s="37" t="s">
        <v>2685</v>
      </c>
      <c r="E874" s="37">
        <v>3</v>
      </c>
      <c r="F874" s="37" t="s">
        <v>1613</v>
      </c>
      <c r="G874" s="37" t="s">
        <v>1613</v>
      </c>
      <c r="H874" s="37" t="s">
        <v>1613</v>
      </c>
      <c r="I874" s="37" t="s">
        <v>1613</v>
      </c>
      <c r="J874" s="37" t="s">
        <v>1613</v>
      </c>
      <c r="K874" s="37" t="s">
        <v>1613</v>
      </c>
      <c r="L874" s="37" t="s">
        <v>1613</v>
      </c>
      <c r="M874" s="37" t="s">
        <v>1613</v>
      </c>
      <c r="N874" s="37" t="s">
        <v>1613</v>
      </c>
      <c r="O874" s="37" t="s">
        <v>1613</v>
      </c>
      <c r="P874" s="37" t="s">
        <v>1613</v>
      </c>
      <c r="Q874" s="37" t="s">
        <v>2686</v>
      </c>
    </row>
    <row r="875" spans="1:17" ht="15">
      <c r="A875">
        <v>873</v>
      </c>
      <c r="B875" s="37" t="s">
        <v>2683</v>
      </c>
      <c r="C875" s="37" t="s">
        <v>2687</v>
      </c>
      <c r="D875" s="37" t="s">
        <v>2688</v>
      </c>
      <c r="E875" s="37">
        <v>3</v>
      </c>
      <c r="F875" s="37" t="s">
        <v>1613</v>
      </c>
      <c r="G875" s="37" t="s">
        <v>1613</v>
      </c>
      <c r="H875" s="37" t="s">
        <v>1613</v>
      </c>
      <c r="I875" s="37" t="s">
        <v>1613</v>
      </c>
      <c r="J875" s="37" t="s">
        <v>1613</v>
      </c>
      <c r="K875" s="37" t="s">
        <v>1613</v>
      </c>
      <c r="L875" s="37" t="s">
        <v>1613</v>
      </c>
      <c r="M875" s="37" t="s">
        <v>1613</v>
      </c>
      <c r="N875" s="37" t="s">
        <v>1613</v>
      </c>
      <c r="O875" s="37" t="s">
        <v>1613</v>
      </c>
      <c r="P875" s="37" t="s">
        <v>1613</v>
      </c>
      <c r="Q875" s="37" t="s">
        <v>2689</v>
      </c>
    </row>
    <row r="876" spans="1:17" ht="15">
      <c r="A876">
        <v>874</v>
      </c>
      <c r="B876" s="37" t="s">
        <v>2683</v>
      </c>
      <c r="C876" s="37" t="s">
        <v>2690</v>
      </c>
      <c r="D876" s="37" t="s">
        <v>2691</v>
      </c>
      <c r="E876" s="37">
        <v>3</v>
      </c>
      <c r="F876" s="37" t="s">
        <v>1613</v>
      </c>
      <c r="G876" s="37" t="s">
        <v>1613</v>
      </c>
      <c r="H876" s="37" t="s">
        <v>1613</v>
      </c>
      <c r="I876" s="37" t="s">
        <v>1613</v>
      </c>
      <c r="J876" s="37" t="s">
        <v>1613</v>
      </c>
      <c r="K876" s="37" t="s">
        <v>1613</v>
      </c>
      <c r="L876" s="37" t="s">
        <v>1613</v>
      </c>
      <c r="M876" s="37" t="s">
        <v>1613</v>
      </c>
      <c r="N876" s="37" t="s">
        <v>1613</v>
      </c>
      <c r="O876" s="37" t="s">
        <v>1613</v>
      </c>
      <c r="P876" s="37" t="s">
        <v>1613</v>
      </c>
      <c r="Q876" s="37" t="s">
        <v>2692</v>
      </c>
    </row>
    <row r="877" spans="1:17" ht="15">
      <c r="A877">
        <v>875</v>
      </c>
      <c r="B877" s="37" t="s">
        <v>2683</v>
      </c>
      <c r="C877" s="37" t="s">
        <v>2693</v>
      </c>
      <c r="D877" s="37" t="s">
        <v>2694</v>
      </c>
      <c r="E877" s="37">
        <v>3</v>
      </c>
      <c r="F877" s="37" t="s">
        <v>1613</v>
      </c>
      <c r="G877" s="37" t="s">
        <v>1613</v>
      </c>
      <c r="H877" s="37" t="s">
        <v>1613</v>
      </c>
      <c r="I877" s="37" t="s">
        <v>1613</v>
      </c>
      <c r="J877" s="37" t="s">
        <v>1613</v>
      </c>
      <c r="K877" s="37" t="s">
        <v>1613</v>
      </c>
      <c r="L877" s="37" t="s">
        <v>1613</v>
      </c>
      <c r="M877" s="37" t="s">
        <v>1613</v>
      </c>
      <c r="N877" s="37" t="s">
        <v>1613</v>
      </c>
      <c r="O877" s="37" t="s">
        <v>1613</v>
      </c>
      <c r="P877" s="37" t="s">
        <v>1613</v>
      </c>
      <c r="Q877" s="37" t="s">
        <v>2695</v>
      </c>
    </row>
    <row r="878" spans="1:17" ht="15">
      <c r="A878">
        <v>876</v>
      </c>
      <c r="B878" s="37" t="s">
        <v>2683</v>
      </c>
      <c r="C878" s="37" t="s">
        <v>2696</v>
      </c>
      <c r="D878" s="37" t="s">
        <v>2697</v>
      </c>
      <c r="E878" s="37">
        <v>3</v>
      </c>
      <c r="F878" s="37" t="s">
        <v>1613</v>
      </c>
      <c r="G878" s="37" t="s">
        <v>1613</v>
      </c>
      <c r="H878" s="37" t="s">
        <v>1613</v>
      </c>
      <c r="I878" s="37" t="s">
        <v>1613</v>
      </c>
      <c r="J878" s="37" t="s">
        <v>1613</v>
      </c>
      <c r="K878" s="37" t="s">
        <v>1613</v>
      </c>
      <c r="L878" s="37" t="s">
        <v>1613</v>
      </c>
      <c r="M878" s="37" t="s">
        <v>1613</v>
      </c>
      <c r="N878" s="37" t="s">
        <v>1613</v>
      </c>
      <c r="O878" s="37" t="s">
        <v>1613</v>
      </c>
      <c r="P878" s="37" t="s">
        <v>1613</v>
      </c>
      <c r="Q878" s="37" t="s">
        <v>2698</v>
      </c>
    </row>
    <row r="879" spans="1:17" ht="15">
      <c r="A879">
        <v>877</v>
      </c>
      <c r="B879" s="37" t="s">
        <v>2683</v>
      </c>
      <c r="C879" s="37" t="s">
        <v>2699</v>
      </c>
      <c r="D879" s="37" t="s">
        <v>2700</v>
      </c>
      <c r="E879" s="37">
        <v>3</v>
      </c>
      <c r="F879" s="37" t="s">
        <v>1613</v>
      </c>
      <c r="G879" s="37" t="s">
        <v>1613</v>
      </c>
      <c r="H879" s="37" t="s">
        <v>1613</v>
      </c>
      <c r="I879" s="37" t="s">
        <v>1613</v>
      </c>
      <c r="J879" s="37" t="s">
        <v>1613</v>
      </c>
      <c r="K879" s="37" t="s">
        <v>1613</v>
      </c>
      <c r="L879" s="37" t="s">
        <v>1613</v>
      </c>
      <c r="M879" s="37" t="s">
        <v>1613</v>
      </c>
      <c r="N879" s="37" t="s">
        <v>1613</v>
      </c>
      <c r="O879" s="37" t="s">
        <v>1613</v>
      </c>
      <c r="P879" s="37" t="s">
        <v>1613</v>
      </c>
      <c r="Q879" s="37" t="s">
        <v>2701</v>
      </c>
    </row>
    <row r="880" spans="1:17" ht="15">
      <c r="A880">
        <v>878</v>
      </c>
      <c r="B880" s="37" t="s">
        <v>2683</v>
      </c>
      <c r="C880" s="37" t="s">
        <v>2702</v>
      </c>
      <c r="D880" s="37" t="s">
        <v>2703</v>
      </c>
      <c r="E880" s="37">
        <v>3</v>
      </c>
      <c r="F880" s="37" t="s">
        <v>1613</v>
      </c>
      <c r="G880" s="37" t="s">
        <v>1613</v>
      </c>
      <c r="H880" s="37" t="s">
        <v>1613</v>
      </c>
      <c r="I880" s="37" t="s">
        <v>1613</v>
      </c>
      <c r="J880" s="37" t="s">
        <v>1613</v>
      </c>
      <c r="K880" s="37" t="s">
        <v>1613</v>
      </c>
      <c r="L880" s="37" t="s">
        <v>1613</v>
      </c>
      <c r="M880" s="37" t="s">
        <v>1613</v>
      </c>
      <c r="N880" s="37" t="s">
        <v>1613</v>
      </c>
      <c r="O880" s="37" t="s">
        <v>1613</v>
      </c>
      <c r="P880" s="37" t="s">
        <v>1613</v>
      </c>
      <c r="Q880" s="37" t="s">
        <v>2704</v>
      </c>
    </row>
    <row r="881" spans="1:17" ht="15">
      <c r="A881">
        <v>879</v>
      </c>
      <c r="B881" s="37" t="s">
        <v>2683</v>
      </c>
      <c r="C881" s="37" t="s">
        <v>2705</v>
      </c>
      <c r="D881" s="37" t="s">
        <v>2706</v>
      </c>
      <c r="E881" s="37">
        <v>3</v>
      </c>
      <c r="F881" s="37" t="s">
        <v>1613</v>
      </c>
      <c r="G881" s="37" t="s">
        <v>1613</v>
      </c>
      <c r="H881" s="37" t="s">
        <v>1613</v>
      </c>
      <c r="I881" s="37" t="s">
        <v>1613</v>
      </c>
      <c r="J881" s="37" t="s">
        <v>1613</v>
      </c>
      <c r="K881" s="37" t="s">
        <v>1613</v>
      </c>
      <c r="L881" s="37" t="s">
        <v>1613</v>
      </c>
      <c r="M881" s="37" t="s">
        <v>1613</v>
      </c>
      <c r="N881" s="37" t="s">
        <v>1613</v>
      </c>
      <c r="O881" s="37" t="s">
        <v>1613</v>
      </c>
      <c r="P881" s="37" t="s">
        <v>1613</v>
      </c>
      <c r="Q881" s="37" t="s">
        <v>2707</v>
      </c>
    </row>
    <row r="882" spans="1:17" ht="15">
      <c r="A882">
        <v>880</v>
      </c>
      <c r="B882" s="37" t="s">
        <v>2683</v>
      </c>
      <c r="C882" s="37" t="s">
        <v>2708</v>
      </c>
      <c r="D882" s="37" t="s">
        <v>2709</v>
      </c>
      <c r="E882" s="37">
        <v>3</v>
      </c>
      <c r="F882" s="37" t="s">
        <v>1613</v>
      </c>
      <c r="G882" s="37" t="s">
        <v>1613</v>
      </c>
      <c r="H882" s="37" t="s">
        <v>1613</v>
      </c>
      <c r="I882" s="37" t="s">
        <v>1613</v>
      </c>
      <c r="J882" s="37" t="s">
        <v>1613</v>
      </c>
      <c r="K882" s="37" t="s">
        <v>1613</v>
      </c>
      <c r="L882" s="37" t="s">
        <v>1613</v>
      </c>
      <c r="M882" s="37" t="s">
        <v>1613</v>
      </c>
      <c r="N882" s="37" t="s">
        <v>1613</v>
      </c>
      <c r="O882" s="37" t="s">
        <v>1613</v>
      </c>
      <c r="P882" s="37" t="s">
        <v>1613</v>
      </c>
      <c r="Q882" s="37" t="s">
        <v>2710</v>
      </c>
    </row>
    <row r="883" spans="1:17" ht="15">
      <c r="A883">
        <v>881</v>
      </c>
      <c r="B883" s="37" t="s">
        <v>2683</v>
      </c>
      <c r="C883" s="37" t="s">
        <v>2711</v>
      </c>
      <c r="D883" s="37" t="s">
        <v>2712</v>
      </c>
      <c r="E883" s="37">
        <v>3</v>
      </c>
      <c r="F883" s="37" t="s">
        <v>1613</v>
      </c>
      <c r="G883" s="37" t="s">
        <v>1613</v>
      </c>
      <c r="H883" s="37" t="s">
        <v>1613</v>
      </c>
      <c r="I883" s="37" t="s">
        <v>1613</v>
      </c>
      <c r="J883" s="37" t="s">
        <v>1613</v>
      </c>
      <c r="K883" s="37" t="s">
        <v>1613</v>
      </c>
      <c r="L883" s="37" t="s">
        <v>1613</v>
      </c>
      <c r="M883" s="37" t="s">
        <v>1613</v>
      </c>
      <c r="N883" s="37" t="s">
        <v>1613</v>
      </c>
      <c r="O883" s="37" t="s">
        <v>1613</v>
      </c>
      <c r="P883" s="37" t="s">
        <v>1613</v>
      </c>
      <c r="Q883" s="37" t="s">
        <v>2713</v>
      </c>
    </row>
    <row r="884" spans="1:17" ht="15">
      <c r="A884">
        <v>882</v>
      </c>
      <c r="B884" s="37" t="s">
        <v>2683</v>
      </c>
      <c r="C884" s="37" t="s">
        <v>2714</v>
      </c>
      <c r="D884" s="37" t="s">
        <v>2715</v>
      </c>
      <c r="E884" s="37">
        <v>3</v>
      </c>
      <c r="F884" s="37" t="s">
        <v>1613</v>
      </c>
      <c r="G884" s="37" t="s">
        <v>1613</v>
      </c>
      <c r="H884" s="37" t="s">
        <v>1613</v>
      </c>
      <c r="I884" s="37" t="s">
        <v>1613</v>
      </c>
      <c r="J884" s="37" t="s">
        <v>1613</v>
      </c>
      <c r="K884" s="37" t="s">
        <v>1613</v>
      </c>
      <c r="L884" s="37" t="s">
        <v>1613</v>
      </c>
      <c r="M884" s="37" t="s">
        <v>1613</v>
      </c>
      <c r="N884" s="37" t="s">
        <v>1613</v>
      </c>
      <c r="O884" s="37" t="s">
        <v>1613</v>
      </c>
      <c r="P884" s="37" t="s">
        <v>1613</v>
      </c>
      <c r="Q884" s="37" t="s">
        <v>2716</v>
      </c>
    </row>
    <row r="885" spans="1:17" ht="15">
      <c r="B885" s="37" t="s">
        <v>2683</v>
      </c>
      <c r="C885" s="37" t="s">
        <v>2717</v>
      </c>
      <c r="D885" s="37" t="s">
        <v>2718</v>
      </c>
      <c r="E885" s="37">
        <v>3</v>
      </c>
      <c r="F885" s="37" t="s">
        <v>1613</v>
      </c>
      <c r="G885" s="37" t="s">
        <v>1613</v>
      </c>
      <c r="H885" s="37" t="s">
        <v>1613</v>
      </c>
      <c r="I885" s="37" t="s">
        <v>1613</v>
      </c>
      <c r="J885" s="37" t="s">
        <v>1613</v>
      </c>
      <c r="K885" s="37" t="s">
        <v>1613</v>
      </c>
      <c r="L885" s="37" t="s">
        <v>1613</v>
      </c>
      <c r="M885" s="37" t="s">
        <v>1613</v>
      </c>
      <c r="N885" s="37" t="s">
        <v>1613</v>
      </c>
      <c r="O885" s="37" t="s">
        <v>1613</v>
      </c>
      <c r="P885" s="37" t="s">
        <v>1613</v>
      </c>
      <c r="Q885" s="37" t="s">
        <v>2719</v>
      </c>
    </row>
    <row r="886" spans="1:17" ht="15">
      <c r="B886" s="37" t="s">
        <v>2683</v>
      </c>
      <c r="C886" s="37" t="s">
        <v>2720</v>
      </c>
      <c r="D886" s="37" t="s">
        <v>2721</v>
      </c>
      <c r="E886" s="37">
        <v>3</v>
      </c>
      <c r="F886" s="37" t="s">
        <v>1613</v>
      </c>
      <c r="G886" s="37" t="s">
        <v>1613</v>
      </c>
      <c r="H886" s="37" t="s">
        <v>1613</v>
      </c>
      <c r="I886" s="37" t="s">
        <v>1613</v>
      </c>
      <c r="J886" s="37" t="s">
        <v>1613</v>
      </c>
      <c r="K886" s="37" t="s">
        <v>1613</v>
      </c>
      <c r="L886" s="37" t="s">
        <v>1613</v>
      </c>
      <c r="M886" s="37" t="s">
        <v>1613</v>
      </c>
      <c r="N886" s="37" t="s">
        <v>1613</v>
      </c>
      <c r="O886" s="37" t="s">
        <v>1613</v>
      </c>
      <c r="P886" s="37" t="s">
        <v>1613</v>
      </c>
      <c r="Q886" s="37" t="s">
        <v>2722</v>
      </c>
    </row>
    <row r="887" spans="1:17" ht="15">
      <c r="B887" s="37" t="s">
        <v>2683</v>
      </c>
      <c r="C887" s="37" t="s">
        <v>2723</v>
      </c>
      <c r="D887" s="37" t="s">
        <v>2724</v>
      </c>
      <c r="E887" s="37">
        <v>3</v>
      </c>
      <c r="F887" s="37" t="s">
        <v>1613</v>
      </c>
      <c r="G887" s="37" t="s">
        <v>1613</v>
      </c>
      <c r="H887" s="37" t="s">
        <v>1613</v>
      </c>
      <c r="I887" s="37" t="s">
        <v>1613</v>
      </c>
      <c r="J887" s="37" t="s">
        <v>1613</v>
      </c>
      <c r="K887" s="37" t="s">
        <v>1613</v>
      </c>
      <c r="L887" s="37" t="s">
        <v>1613</v>
      </c>
      <c r="M887" s="37" t="s">
        <v>1613</v>
      </c>
      <c r="N887" s="37" t="s">
        <v>1613</v>
      </c>
      <c r="O887" s="37" t="s">
        <v>1613</v>
      </c>
      <c r="P887" s="37" t="s">
        <v>1613</v>
      </c>
      <c r="Q887" s="37" t="s">
        <v>2725</v>
      </c>
    </row>
    <row r="888" spans="1:17" ht="15">
      <c r="B888" s="37" t="s">
        <v>2683</v>
      </c>
      <c r="C888" s="37" t="s">
        <v>2726</v>
      </c>
      <c r="D888" s="37" t="s">
        <v>2727</v>
      </c>
      <c r="E888" s="37">
        <v>3</v>
      </c>
      <c r="F888" s="37" t="s">
        <v>1613</v>
      </c>
      <c r="G888" s="37" t="s">
        <v>1613</v>
      </c>
      <c r="H888" s="37" t="s">
        <v>1613</v>
      </c>
      <c r="I888" s="37" t="s">
        <v>1613</v>
      </c>
      <c r="J888" s="37" t="s">
        <v>1613</v>
      </c>
      <c r="K888" s="37" t="s">
        <v>1613</v>
      </c>
      <c r="L888" s="37" t="s">
        <v>1613</v>
      </c>
      <c r="M888" s="37" t="s">
        <v>1613</v>
      </c>
      <c r="N888" s="37" t="s">
        <v>1613</v>
      </c>
      <c r="O888" s="37" t="s">
        <v>1613</v>
      </c>
      <c r="P888" s="37" t="s">
        <v>1613</v>
      </c>
      <c r="Q888" s="37" t="s">
        <v>2728</v>
      </c>
    </row>
    <row r="889" spans="1:17" ht="15">
      <c r="B889" s="37" t="s">
        <v>2683</v>
      </c>
      <c r="C889" s="37" t="s">
        <v>2729</v>
      </c>
      <c r="D889" s="37" t="s">
        <v>2730</v>
      </c>
      <c r="E889" s="37">
        <v>3</v>
      </c>
      <c r="F889" s="37" t="s">
        <v>1613</v>
      </c>
      <c r="G889" s="37" t="s">
        <v>1613</v>
      </c>
      <c r="H889" s="37" t="s">
        <v>1613</v>
      </c>
      <c r="I889" s="37" t="s">
        <v>1613</v>
      </c>
      <c r="J889" s="37" t="s">
        <v>1613</v>
      </c>
      <c r="K889" s="37" t="s">
        <v>1613</v>
      </c>
      <c r="L889" s="37" t="s">
        <v>1613</v>
      </c>
      <c r="M889" s="37" t="s">
        <v>1613</v>
      </c>
      <c r="N889" s="37" t="s">
        <v>1613</v>
      </c>
      <c r="O889" s="37" t="s">
        <v>1613</v>
      </c>
      <c r="P889" s="37" t="s">
        <v>1613</v>
      </c>
      <c r="Q889" s="37" t="s">
        <v>2731</v>
      </c>
    </row>
    <row r="890" spans="1:17" ht="15">
      <c r="B890" s="37" t="s">
        <v>2683</v>
      </c>
      <c r="C890" s="37" t="s">
        <v>2732</v>
      </c>
      <c r="D890" s="37" t="s">
        <v>2733</v>
      </c>
      <c r="E890" s="37">
        <v>3</v>
      </c>
      <c r="F890" s="37" t="s">
        <v>1613</v>
      </c>
      <c r="G890" s="37" t="s">
        <v>1613</v>
      </c>
      <c r="H890" s="37" t="s">
        <v>1613</v>
      </c>
      <c r="I890" s="37" t="s">
        <v>1613</v>
      </c>
      <c r="J890" s="37" t="s">
        <v>1613</v>
      </c>
      <c r="K890" s="37" t="s">
        <v>1613</v>
      </c>
      <c r="L890" s="37" t="s">
        <v>1613</v>
      </c>
      <c r="M890" s="37" t="s">
        <v>1613</v>
      </c>
      <c r="N890" s="37" t="s">
        <v>1613</v>
      </c>
      <c r="O890" s="37" t="s">
        <v>1613</v>
      </c>
      <c r="P890" s="37" t="s">
        <v>1613</v>
      </c>
      <c r="Q890" s="37" t="s">
        <v>2734</v>
      </c>
    </row>
    <row r="891" spans="1:17" ht="15">
      <c r="B891" s="37" t="s">
        <v>2683</v>
      </c>
      <c r="C891" s="37" t="s">
        <v>2735</v>
      </c>
      <c r="D891" s="37" t="s">
        <v>2736</v>
      </c>
      <c r="E891" s="37">
        <v>3</v>
      </c>
      <c r="F891" s="37" t="s">
        <v>1613</v>
      </c>
      <c r="G891" s="37" t="s">
        <v>1613</v>
      </c>
      <c r="H891" s="37" t="s">
        <v>1613</v>
      </c>
      <c r="I891" s="37" t="s">
        <v>1613</v>
      </c>
      <c r="J891" s="37" t="s">
        <v>1613</v>
      </c>
      <c r="K891" s="37" t="s">
        <v>1613</v>
      </c>
      <c r="L891" s="37" t="s">
        <v>1613</v>
      </c>
      <c r="M891" s="37" t="s">
        <v>1613</v>
      </c>
      <c r="N891" s="37" t="s">
        <v>1613</v>
      </c>
      <c r="O891" s="37" t="s">
        <v>1613</v>
      </c>
      <c r="P891" s="37" t="s">
        <v>1613</v>
      </c>
      <c r="Q891" s="37" t="s">
        <v>2737</v>
      </c>
    </row>
    <row r="892" spans="1:17" ht="15">
      <c r="B892" s="37" t="s">
        <v>2683</v>
      </c>
      <c r="C892" s="37" t="s">
        <v>2738</v>
      </c>
      <c r="D892" s="37" t="s">
        <v>1166</v>
      </c>
      <c r="E892" s="37">
        <v>3</v>
      </c>
      <c r="F892" s="37" t="s">
        <v>1613</v>
      </c>
      <c r="G892" s="37" t="s">
        <v>1613</v>
      </c>
      <c r="H892" s="37" t="s">
        <v>1613</v>
      </c>
      <c r="I892" s="37" t="s">
        <v>1613</v>
      </c>
      <c r="J892" s="37" t="s">
        <v>1613</v>
      </c>
      <c r="K892" s="37" t="s">
        <v>1613</v>
      </c>
      <c r="L892" s="37" t="s">
        <v>1613</v>
      </c>
      <c r="M892" s="37" t="s">
        <v>1613</v>
      </c>
      <c r="N892" s="37" t="s">
        <v>1613</v>
      </c>
      <c r="O892" s="37" t="s">
        <v>1613</v>
      </c>
      <c r="P892" s="37" t="s">
        <v>1613</v>
      </c>
      <c r="Q892" s="37" t="s">
        <v>2739</v>
      </c>
    </row>
    <row r="893" spans="1:17" ht="15">
      <c r="B893" s="37" t="s">
        <v>2683</v>
      </c>
      <c r="C893" s="37" t="s">
        <v>2740</v>
      </c>
      <c r="D893" s="37" t="s">
        <v>2741</v>
      </c>
      <c r="E893" s="37">
        <v>3</v>
      </c>
      <c r="F893" s="37" t="s">
        <v>1613</v>
      </c>
      <c r="G893" s="37" t="s">
        <v>1613</v>
      </c>
      <c r="H893" s="37" t="s">
        <v>1613</v>
      </c>
      <c r="I893" s="37" t="s">
        <v>1613</v>
      </c>
      <c r="J893" s="37" t="s">
        <v>1613</v>
      </c>
      <c r="K893" s="37" t="s">
        <v>1613</v>
      </c>
      <c r="L893" s="37" t="s">
        <v>1613</v>
      </c>
      <c r="M893" s="37" t="s">
        <v>1613</v>
      </c>
      <c r="N893" s="37" t="s">
        <v>1613</v>
      </c>
      <c r="O893" s="37" t="s">
        <v>1613</v>
      </c>
      <c r="P893" s="37" t="s">
        <v>1613</v>
      </c>
      <c r="Q893" s="37" t="s">
        <v>2742</v>
      </c>
    </row>
    <row r="894" spans="1:17" ht="15">
      <c r="B894" s="37" t="s">
        <v>2683</v>
      </c>
      <c r="C894" s="37" t="s">
        <v>2743</v>
      </c>
      <c r="D894" s="37" t="s">
        <v>2744</v>
      </c>
      <c r="E894" s="37">
        <v>3</v>
      </c>
      <c r="F894" s="37" t="s">
        <v>1613</v>
      </c>
      <c r="G894" s="37" t="s">
        <v>1613</v>
      </c>
      <c r="H894" s="37" t="s">
        <v>1613</v>
      </c>
      <c r="I894" s="37" t="s">
        <v>1613</v>
      </c>
      <c r="J894" s="37" t="s">
        <v>1613</v>
      </c>
      <c r="K894" s="37" t="s">
        <v>1613</v>
      </c>
      <c r="L894" s="37" t="s">
        <v>1613</v>
      </c>
      <c r="M894" s="37" t="s">
        <v>1613</v>
      </c>
      <c r="N894" s="37" t="s">
        <v>1613</v>
      </c>
      <c r="O894" s="37" t="s">
        <v>1613</v>
      </c>
      <c r="P894" s="37" t="s">
        <v>1613</v>
      </c>
      <c r="Q894" s="37" t="s">
        <v>2745</v>
      </c>
    </row>
    <row r="895" spans="1:17" ht="15">
      <c r="B895" s="37" t="s">
        <v>2683</v>
      </c>
      <c r="C895" s="37" t="s">
        <v>2746</v>
      </c>
      <c r="D895" s="37" t="s">
        <v>2747</v>
      </c>
      <c r="E895" s="37">
        <v>3</v>
      </c>
      <c r="F895" s="37" t="s">
        <v>1613</v>
      </c>
      <c r="G895" s="37" t="s">
        <v>1613</v>
      </c>
      <c r="H895" s="37" t="s">
        <v>1613</v>
      </c>
      <c r="I895" s="37" t="s">
        <v>1613</v>
      </c>
      <c r="J895" s="37" t="s">
        <v>1613</v>
      </c>
      <c r="K895" s="37" t="s">
        <v>1613</v>
      </c>
      <c r="L895" s="37" t="s">
        <v>1613</v>
      </c>
      <c r="M895" s="37" t="s">
        <v>1613</v>
      </c>
      <c r="N895" s="37" t="s">
        <v>1613</v>
      </c>
      <c r="O895" s="37" t="s">
        <v>1613</v>
      </c>
      <c r="P895" s="37" t="s">
        <v>1613</v>
      </c>
      <c r="Q895" s="37" t="s">
        <v>2748</v>
      </c>
    </row>
    <row r="896" spans="1:17" ht="15">
      <c r="B896" s="37" t="s">
        <v>2683</v>
      </c>
      <c r="C896" s="37" t="s">
        <v>2749</v>
      </c>
      <c r="D896" s="37" t="s">
        <v>2750</v>
      </c>
      <c r="E896" s="37">
        <v>3</v>
      </c>
      <c r="F896" s="37" t="s">
        <v>1613</v>
      </c>
      <c r="G896" s="37" t="s">
        <v>1613</v>
      </c>
      <c r="H896" s="37" t="s">
        <v>1613</v>
      </c>
      <c r="I896" s="37" t="s">
        <v>1613</v>
      </c>
      <c r="J896" s="37" t="s">
        <v>1613</v>
      </c>
      <c r="K896" s="37" t="s">
        <v>1613</v>
      </c>
      <c r="L896" s="37" t="s">
        <v>1613</v>
      </c>
      <c r="M896" s="37" t="s">
        <v>1613</v>
      </c>
      <c r="N896" s="37" t="s">
        <v>1613</v>
      </c>
      <c r="O896" s="37" t="s">
        <v>1613</v>
      </c>
      <c r="P896" s="37" t="s">
        <v>1613</v>
      </c>
      <c r="Q896" s="37" t="s">
        <v>2751</v>
      </c>
    </row>
    <row r="897" spans="2:17" ht="15">
      <c r="B897" s="37" t="s">
        <v>2683</v>
      </c>
      <c r="C897" s="37" t="s">
        <v>2752</v>
      </c>
      <c r="D897" s="37" t="s">
        <v>2753</v>
      </c>
      <c r="E897" s="37">
        <v>3</v>
      </c>
      <c r="F897" s="37" t="s">
        <v>1613</v>
      </c>
      <c r="G897" s="37" t="s">
        <v>1613</v>
      </c>
      <c r="H897" s="37" t="s">
        <v>1613</v>
      </c>
      <c r="I897" s="37" t="s">
        <v>1613</v>
      </c>
      <c r="J897" s="37" t="s">
        <v>1613</v>
      </c>
      <c r="K897" s="37" t="s">
        <v>1613</v>
      </c>
      <c r="L897" s="37" t="s">
        <v>1613</v>
      </c>
      <c r="M897" s="37" t="s">
        <v>1613</v>
      </c>
      <c r="N897" s="37" t="s">
        <v>1613</v>
      </c>
      <c r="O897" s="37" t="s">
        <v>1613</v>
      </c>
      <c r="P897" s="37" t="s">
        <v>1613</v>
      </c>
      <c r="Q897" s="37" t="s">
        <v>2754</v>
      </c>
    </row>
    <row r="898" spans="2:17" ht="15">
      <c r="B898" s="37" t="s">
        <v>2683</v>
      </c>
      <c r="C898" s="37" t="s">
        <v>2755</v>
      </c>
      <c r="D898" s="37" t="s">
        <v>2756</v>
      </c>
      <c r="E898" s="37">
        <v>3</v>
      </c>
      <c r="F898" s="37" t="s">
        <v>1613</v>
      </c>
      <c r="G898" s="37" t="s">
        <v>1613</v>
      </c>
      <c r="H898" s="37" t="s">
        <v>1613</v>
      </c>
      <c r="I898" s="37" t="s">
        <v>1613</v>
      </c>
      <c r="J898" s="37" t="s">
        <v>1613</v>
      </c>
      <c r="K898" s="37" t="s">
        <v>1613</v>
      </c>
      <c r="L898" s="37" t="s">
        <v>1613</v>
      </c>
      <c r="M898" s="37" t="s">
        <v>1613</v>
      </c>
      <c r="N898" s="37" t="s">
        <v>1613</v>
      </c>
      <c r="O898" s="37" t="s">
        <v>1613</v>
      </c>
      <c r="P898" s="37" t="s">
        <v>1613</v>
      </c>
      <c r="Q898" s="37" t="s">
        <v>2757</v>
      </c>
    </row>
    <row r="899" spans="2:17" ht="15">
      <c r="B899" s="37" t="s">
        <v>2683</v>
      </c>
      <c r="C899" s="37" t="s">
        <v>2758</v>
      </c>
      <c r="D899" s="37" t="s">
        <v>2759</v>
      </c>
      <c r="E899" s="37">
        <v>3</v>
      </c>
      <c r="F899" s="37" t="s">
        <v>1613</v>
      </c>
      <c r="G899" s="37" t="s">
        <v>1613</v>
      </c>
      <c r="H899" s="37" t="s">
        <v>1613</v>
      </c>
      <c r="I899" s="37" t="s">
        <v>1613</v>
      </c>
      <c r="J899" s="37" t="s">
        <v>1613</v>
      </c>
      <c r="K899" s="37" t="s">
        <v>1613</v>
      </c>
      <c r="L899" s="37" t="s">
        <v>1613</v>
      </c>
      <c r="M899" s="37" t="s">
        <v>1613</v>
      </c>
      <c r="N899" s="37" t="s">
        <v>1613</v>
      </c>
      <c r="O899" s="37" t="s">
        <v>1613</v>
      </c>
      <c r="P899" s="37" t="s">
        <v>1613</v>
      </c>
      <c r="Q899" s="37" t="s">
        <v>2760</v>
      </c>
    </row>
    <row r="900" spans="2:17" ht="15">
      <c r="B900" s="37" t="s">
        <v>2683</v>
      </c>
      <c r="C900" s="37" t="s">
        <v>2761</v>
      </c>
      <c r="D900" s="37" t="s">
        <v>2762</v>
      </c>
      <c r="E900" s="37">
        <v>3</v>
      </c>
      <c r="F900" s="37" t="s">
        <v>1613</v>
      </c>
      <c r="G900" s="37" t="s">
        <v>1613</v>
      </c>
      <c r="H900" s="37" t="s">
        <v>1613</v>
      </c>
      <c r="I900" s="37" t="s">
        <v>1613</v>
      </c>
      <c r="J900" s="37" t="s">
        <v>1613</v>
      </c>
      <c r="K900" s="37" t="s">
        <v>1613</v>
      </c>
      <c r="L900" s="37" t="s">
        <v>1613</v>
      </c>
      <c r="M900" s="37" t="s">
        <v>1613</v>
      </c>
      <c r="N900" s="37" t="s">
        <v>1613</v>
      </c>
      <c r="O900" s="37" t="s">
        <v>1613</v>
      </c>
      <c r="P900" s="37" t="s">
        <v>1613</v>
      </c>
      <c r="Q900" s="37" t="s">
        <v>2763</v>
      </c>
    </row>
    <row r="901" spans="2:17" ht="15">
      <c r="B901" s="37" t="s">
        <v>2683</v>
      </c>
      <c r="C901" s="37" t="s">
        <v>2764</v>
      </c>
      <c r="D901" s="37" t="s">
        <v>2765</v>
      </c>
      <c r="E901" s="37">
        <v>3</v>
      </c>
      <c r="F901" s="37" t="s">
        <v>1613</v>
      </c>
      <c r="G901" s="37" t="s">
        <v>1613</v>
      </c>
      <c r="H901" s="37" t="s">
        <v>1613</v>
      </c>
      <c r="I901" s="37" t="s">
        <v>1613</v>
      </c>
      <c r="J901" s="37" t="s">
        <v>1613</v>
      </c>
      <c r="K901" s="37" t="s">
        <v>1613</v>
      </c>
      <c r="L901" s="37" t="s">
        <v>1613</v>
      </c>
      <c r="M901" s="37" t="s">
        <v>1613</v>
      </c>
      <c r="N901" s="37" t="s">
        <v>1613</v>
      </c>
      <c r="O901" s="37" t="s">
        <v>1613</v>
      </c>
      <c r="P901" s="37" t="s">
        <v>1613</v>
      </c>
      <c r="Q901" s="37" t="s">
        <v>2766</v>
      </c>
    </row>
    <row r="902" spans="2:17" ht="15">
      <c r="B902" s="37" t="s">
        <v>2683</v>
      </c>
      <c r="C902" s="37" t="s">
        <v>2767</v>
      </c>
      <c r="D902" s="37" t="s">
        <v>2768</v>
      </c>
      <c r="E902" s="37">
        <v>3</v>
      </c>
      <c r="F902" s="37" t="s">
        <v>1613</v>
      </c>
      <c r="G902" s="37" t="s">
        <v>1613</v>
      </c>
      <c r="H902" s="37" t="s">
        <v>1613</v>
      </c>
      <c r="I902" s="37" t="s">
        <v>1613</v>
      </c>
      <c r="J902" s="37" t="s">
        <v>1613</v>
      </c>
      <c r="K902" s="37" t="s">
        <v>1613</v>
      </c>
      <c r="L902" s="37" t="s">
        <v>1613</v>
      </c>
      <c r="M902" s="37" t="s">
        <v>1613</v>
      </c>
      <c r="N902" s="37" t="s">
        <v>1613</v>
      </c>
      <c r="O902" s="37" t="s">
        <v>1613</v>
      </c>
      <c r="P902" s="37" t="s">
        <v>1613</v>
      </c>
      <c r="Q902" s="37" t="s">
        <v>2769</v>
      </c>
    </row>
    <row r="903" spans="2:17" ht="15">
      <c r="B903" s="37" t="s">
        <v>2683</v>
      </c>
      <c r="C903" s="37" t="s">
        <v>2770</v>
      </c>
      <c r="D903" s="37" t="s">
        <v>2771</v>
      </c>
      <c r="E903" s="37">
        <v>3</v>
      </c>
      <c r="F903" s="37" t="s">
        <v>1613</v>
      </c>
      <c r="G903" s="37" t="s">
        <v>1613</v>
      </c>
      <c r="H903" s="37" t="s">
        <v>1613</v>
      </c>
      <c r="I903" s="37" t="s">
        <v>1613</v>
      </c>
      <c r="J903" s="37" t="s">
        <v>1613</v>
      </c>
      <c r="K903" s="37" t="s">
        <v>1613</v>
      </c>
      <c r="L903" s="37" t="s">
        <v>1613</v>
      </c>
      <c r="M903" s="37" t="s">
        <v>1613</v>
      </c>
      <c r="N903" s="37" t="s">
        <v>1613</v>
      </c>
      <c r="O903" s="37" t="s">
        <v>1613</v>
      </c>
      <c r="P903" s="37" t="s">
        <v>1613</v>
      </c>
      <c r="Q903" s="37" t="s">
        <v>2772</v>
      </c>
    </row>
    <row r="904" spans="2:17" ht="15">
      <c r="B904" s="37" t="s">
        <v>2773</v>
      </c>
      <c r="C904" s="37" t="s">
        <v>2774</v>
      </c>
      <c r="D904" s="37" t="s">
        <v>2775</v>
      </c>
      <c r="E904" s="37">
        <v>3</v>
      </c>
      <c r="F904" s="37" t="s">
        <v>1613</v>
      </c>
      <c r="G904" s="37" t="s">
        <v>1613</v>
      </c>
      <c r="H904" s="37" t="s">
        <v>1613</v>
      </c>
      <c r="I904" s="37" t="s">
        <v>1613</v>
      </c>
      <c r="J904" s="37" t="s">
        <v>1613</v>
      </c>
      <c r="K904" s="37" t="s">
        <v>1613</v>
      </c>
      <c r="L904" s="37" t="s">
        <v>1613</v>
      </c>
      <c r="M904" s="37" t="s">
        <v>1613</v>
      </c>
      <c r="N904" s="37" t="s">
        <v>1613</v>
      </c>
      <c r="O904" s="37" t="s">
        <v>1613</v>
      </c>
      <c r="P904" s="37" t="s">
        <v>1613</v>
      </c>
      <c r="Q904" s="37" t="s">
        <v>2776</v>
      </c>
    </row>
    <row r="905" spans="2:17" ht="15">
      <c r="B905" s="37" t="s">
        <v>2773</v>
      </c>
      <c r="C905" s="37" t="s">
        <v>2777</v>
      </c>
      <c r="D905" s="37" t="s">
        <v>2778</v>
      </c>
      <c r="E905" s="37">
        <v>3</v>
      </c>
      <c r="F905" s="37" t="s">
        <v>1613</v>
      </c>
      <c r="G905" s="37" t="s">
        <v>1613</v>
      </c>
      <c r="H905" s="37" t="s">
        <v>1613</v>
      </c>
      <c r="I905" s="37" t="s">
        <v>1613</v>
      </c>
      <c r="J905" s="37" t="s">
        <v>1613</v>
      </c>
      <c r="K905" s="37" t="s">
        <v>1613</v>
      </c>
      <c r="L905" s="37" t="s">
        <v>1613</v>
      </c>
      <c r="M905" s="37" t="s">
        <v>1613</v>
      </c>
      <c r="N905" s="37" t="s">
        <v>1613</v>
      </c>
      <c r="O905" s="37" t="s">
        <v>1613</v>
      </c>
      <c r="P905" s="37" t="s">
        <v>1613</v>
      </c>
      <c r="Q905" s="37" t="s">
        <v>2779</v>
      </c>
    </row>
    <row r="906" spans="2:17" ht="15">
      <c r="B906" s="37" t="s">
        <v>2773</v>
      </c>
      <c r="C906" s="37" t="s">
        <v>2780</v>
      </c>
      <c r="D906" s="37" t="s">
        <v>2781</v>
      </c>
      <c r="E906" s="37">
        <v>3</v>
      </c>
      <c r="F906" s="37" t="s">
        <v>1613</v>
      </c>
      <c r="G906" s="37" t="s">
        <v>1613</v>
      </c>
      <c r="H906" s="37" t="s">
        <v>1613</v>
      </c>
      <c r="I906" s="37" t="s">
        <v>1613</v>
      </c>
      <c r="J906" s="37" t="s">
        <v>1613</v>
      </c>
      <c r="K906" s="37" t="s">
        <v>1613</v>
      </c>
      <c r="L906" s="37" t="s">
        <v>1613</v>
      </c>
      <c r="M906" s="37" t="s">
        <v>1613</v>
      </c>
      <c r="N906" s="37" t="s">
        <v>1613</v>
      </c>
      <c r="O906" s="37" t="s">
        <v>1613</v>
      </c>
      <c r="P906" s="37" t="s">
        <v>1613</v>
      </c>
      <c r="Q906" s="37" t="s">
        <v>2782</v>
      </c>
    </row>
    <row r="907" spans="2:17" ht="15">
      <c r="B907" s="37" t="s">
        <v>2773</v>
      </c>
      <c r="C907" s="37" t="s">
        <v>2783</v>
      </c>
      <c r="D907" s="37" t="s">
        <v>2784</v>
      </c>
      <c r="E907" s="37">
        <v>3</v>
      </c>
      <c r="F907" s="37" t="s">
        <v>1613</v>
      </c>
      <c r="G907" s="37" t="s">
        <v>1613</v>
      </c>
      <c r="H907" s="37" t="s">
        <v>1613</v>
      </c>
      <c r="I907" s="37" t="s">
        <v>1613</v>
      </c>
      <c r="J907" s="37" t="s">
        <v>1613</v>
      </c>
      <c r="K907" s="37" t="s">
        <v>1613</v>
      </c>
      <c r="L907" s="37" t="s">
        <v>1613</v>
      </c>
      <c r="M907" s="37" t="s">
        <v>1613</v>
      </c>
      <c r="N907" s="37" t="s">
        <v>1613</v>
      </c>
      <c r="O907" s="37" t="s">
        <v>1613</v>
      </c>
      <c r="P907" s="37" t="s">
        <v>1613</v>
      </c>
      <c r="Q907" s="37" t="s">
        <v>2785</v>
      </c>
    </row>
    <row r="908" spans="2:17" ht="15">
      <c r="B908" s="37" t="s">
        <v>2773</v>
      </c>
      <c r="C908" s="37" t="s">
        <v>2786</v>
      </c>
      <c r="D908" s="37" t="s">
        <v>2787</v>
      </c>
      <c r="E908" s="37">
        <v>3</v>
      </c>
      <c r="F908" s="37" t="s">
        <v>1613</v>
      </c>
      <c r="G908" s="37" t="s">
        <v>1613</v>
      </c>
      <c r="H908" s="37" t="s">
        <v>1613</v>
      </c>
      <c r="I908" s="37" t="s">
        <v>1613</v>
      </c>
      <c r="J908" s="37" t="s">
        <v>1613</v>
      </c>
      <c r="K908" s="37" t="s">
        <v>1613</v>
      </c>
      <c r="L908" s="37" t="s">
        <v>1613</v>
      </c>
      <c r="M908" s="37" t="s">
        <v>1613</v>
      </c>
      <c r="N908" s="37" t="s">
        <v>1613</v>
      </c>
      <c r="O908" s="37" t="s">
        <v>1613</v>
      </c>
      <c r="P908" s="37" t="s">
        <v>1613</v>
      </c>
      <c r="Q908" s="37" t="s">
        <v>2788</v>
      </c>
    </row>
    <row r="909" spans="2:17" ht="15">
      <c r="B909" s="37" t="s">
        <v>2773</v>
      </c>
      <c r="C909" s="37" t="s">
        <v>2789</v>
      </c>
      <c r="D909" s="37" t="s">
        <v>2790</v>
      </c>
      <c r="E909" s="37">
        <v>3</v>
      </c>
      <c r="F909" s="37" t="s">
        <v>1613</v>
      </c>
      <c r="G909" s="37" t="s">
        <v>1613</v>
      </c>
      <c r="H909" s="37" t="s">
        <v>1613</v>
      </c>
      <c r="I909" s="37" t="s">
        <v>1613</v>
      </c>
      <c r="J909" s="37" t="s">
        <v>1613</v>
      </c>
      <c r="K909" s="37" t="s">
        <v>1613</v>
      </c>
      <c r="L909" s="37" t="s">
        <v>1613</v>
      </c>
      <c r="M909" s="37" t="s">
        <v>1613</v>
      </c>
      <c r="N909" s="37" t="s">
        <v>1613</v>
      </c>
      <c r="O909" s="37" t="s">
        <v>1613</v>
      </c>
      <c r="P909" s="37" t="s">
        <v>1613</v>
      </c>
      <c r="Q909" s="37" t="s">
        <v>2791</v>
      </c>
    </row>
    <row r="910" spans="2:17" ht="15">
      <c r="B910" s="37" t="s">
        <v>2773</v>
      </c>
      <c r="C910" s="37" t="s">
        <v>2792</v>
      </c>
      <c r="D910" s="37" t="s">
        <v>2793</v>
      </c>
      <c r="E910" s="37">
        <v>3</v>
      </c>
      <c r="F910" s="37" t="s">
        <v>1613</v>
      </c>
      <c r="G910" s="37" t="s">
        <v>1613</v>
      </c>
      <c r="H910" s="37" t="s">
        <v>1613</v>
      </c>
      <c r="I910" s="37" t="s">
        <v>1613</v>
      </c>
      <c r="J910" s="37" t="s">
        <v>1613</v>
      </c>
      <c r="K910" s="37" t="s">
        <v>1613</v>
      </c>
      <c r="L910" s="37" t="s">
        <v>1613</v>
      </c>
      <c r="M910" s="37" t="s">
        <v>1613</v>
      </c>
      <c r="N910" s="37" t="s">
        <v>1613</v>
      </c>
      <c r="O910" s="37" t="s">
        <v>1613</v>
      </c>
      <c r="P910" s="37" t="s">
        <v>1613</v>
      </c>
      <c r="Q910" s="37" t="s">
        <v>2794</v>
      </c>
    </row>
    <row r="911" spans="2:17" ht="15">
      <c r="B911" s="37" t="s">
        <v>2773</v>
      </c>
      <c r="C911" s="37" t="s">
        <v>2795</v>
      </c>
      <c r="D911" s="37" t="s">
        <v>2796</v>
      </c>
      <c r="E911" s="37">
        <v>3</v>
      </c>
      <c r="F911" s="37" t="s">
        <v>1613</v>
      </c>
      <c r="G911" s="37" t="s">
        <v>1613</v>
      </c>
      <c r="H911" s="37" t="s">
        <v>1613</v>
      </c>
      <c r="I911" s="37" t="s">
        <v>1613</v>
      </c>
      <c r="J911" s="37" t="s">
        <v>1613</v>
      </c>
      <c r="K911" s="37" t="s">
        <v>1613</v>
      </c>
      <c r="L911" s="37" t="s">
        <v>1613</v>
      </c>
      <c r="M911" s="37" t="s">
        <v>1613</v>
      </c>
      <c r="N911" s="37" t="s">
        <v>1613</v>
      </c>
      <c r="O911" s="37" t="s">
        <v>1613</v>
      </c>
      <c r="P911" s="37" t="s">
        <v>1613</v>
      </c>
      <c r="Q911" s="37" t="s">
        <v>2797</v>
      </c>
    </row>
    <row r="912" spans="2:17" ht="15">
      <c r="B912" s="37" t="s">
        <v>2798</v>
      </c>
      <c r="C912" s="37" t="s">
        <v>2799</v>
      </c>
      <c r="D912" s="37" t="s">
        <v>2800</v>
      </c>
      <c r="E912" s="37">
        <v>3</v>
      </c>
      <c r="F912" s="37" t="s">
        <v>1613</v>
      </c>
      <c r="G912" s="37" t="s">
        <v>1613</v>
      </c>
      <c r="H912" s="37" t="s">
        <v>1613</v>
      </c>
      <c r="I912" s="37" t="s">
        <v>1613</v>
      </c>
      <c r="J912" s="37" t="s">
        <v>1613</v>
      </c>
      <c r="K912" s="37" t="s">
        <v>1613</v>
      </c>
      <c r="L912" s="37" t="s">
        <v>1613</v>
      </c>
      <c r="M912" s="37" t="s">
        <v>1613</v>
      </c>
      <c r="N912" s="37" t="s">
        <v>1613</v>
      </c>
      <c r="O912" s="37" t="s">
        <v>1613</v>
      </c>
      <c r="P912" s="37" t="s">
        <v>1613</v>
      </c>
      <c r="Q912" s="37" t="s">
        <v>2801</v>
      </c>
    </row>
    <row r="913" spans="2:17" ht="15">
      <c r="B913" s="37" t="s">
        <v>2798</v>
      </c>
      <c r="C913" s="37" t="s">
        <v>2802</v>
      </c>
      <c r="D913" s="37" t="s">
        <v>2803</v>
      </c>
      <c r="E913" s="37">
        <v>3</v>
      </c>
      <c r="F913" s="37" t="s">
        <v>1613</v>
      </c>
      <c r="G913" s="37" t="s">
        <v>1613</v>
      </c>
      <c r="H913" s="37" t="s">
        <v>1613</v>
      </c>
      <c r="I913" s="37" t="s">
        <v>1613</v>
      </c>
      <c r="J913" s="37" t="s">
        <v>1613</v>
      </c>
      <c r="K913" s="37" t="s">
        <v>1613</v>
      </c>
      <c r="L913" s="37" t="s">
        <v>1613</v>
      </c>
      <c r="M913" s="37" t="s">
        <v>1613</v>
      </c>
      <c r="N913" s="37" t="s">
        <v>1613</v>
      </c>
      <c r="O913" s="37" t="s">
        <v>1613</v>
      </c>
      <c r="P913" s="37" t="s">
        <v>1613</v>
      </c>
      <c r="Q913" s="37" t="s">
        <v>2801</v>
      </c>
    </row>
    <row r="914" spans="2:17" ht="15">
      <c r="B914" s="37" t="s">
        <v>2798</v>
      </c>
      <c r="C914" s="37" t="s">
        <v>2804</v>
      </c>
      <c r="D914" s="37" t="s">
        <v>2805</v>
      </c>
      <c r="E914" s="37">
        <v>4</v>
      </c>
      <c r="F914" s="37" t="s">
        <v>1613</v>
      </c>
      <c r="G914" s="37" t="s">
        <v>1613</v>
      </c>
      <c r="H914" s="37" t="s">
        <v>1613</v>
      </c>
      <c r="I914" s="37" t="s">
        <v>1613</v>
      </c>
      <c r="J914" s="37" t="s">
        <v>1613</v>
      </c>
      <c r="K914" s="37" t="s">
        <v>1613</v>
      </c>
      <c r="L914" s="37" t="s">
        <v>1613</v>
      </c>
      <c r="M914" s="37" t="s">
        <v>1613</v>
      </c>
      <c r="N914" s="37" t="s">
        <v>1613</v>
      </c>
      <c r="O914" s="37" t="s">
        <v>1613</v>
      </c>
      <c r="P914" s="37" t="s">
        <v>1613</v>
      </c>
      <c r="Q914" s="37" t="s">
        <v>2801</v>
      </c>
    </row>
    <row r="915" spans="2:17" ht="15">
      <c r="B915" s="37" t="s">
        <v>2798</v>
      </c>
      <c r="C915" s="37" t="s">
        <v>2806</v>
      </c>
      <c r="D915" s="37" t="s">
        <v>2807</v>
      </c>
      <c r="E915" s="37">
        <v>4</v>
      </c>
      <c r="F915" s="37" t="s">
        <v>1613</v>
      </c>
      <c r="G915" s="37" t="s">
        <v>1613</v>
      </c>
      <c r="H915" s="37" t="s">
        <v>1613</v>
      </c>
      <c r="I915" s="37" t="s">
        <v>1613</v>
      </c>
      <c r="J915" s="37" t="s">
        <v>1613</v>
      </c>
      <c r="K915" s="37" t="s">
        <v>1613</v>
      </c>
      <c r="L915" s="37" t="s">
        <v>1613</v>
      </c>
      <c r="M915" s="37" t="s">
        <v>1613</v>
      </c>
      <c r="N915" s="37" t="s">
        <v>1613</v>
      </c>
      <c r="O915" s="37" t="s">
        <v>1613</v>
      </c>
      <c r="P915" s="37" t="s">
        <v>1613</v>
      </c>
      <c r="Q915" s="37" t="s">
        <v>2801</v>
      </c>
    </row>
    <row r="916" spans="2:17" ht="15">
      <c r="B916" s="37" t="s">
        <v>2798</v>
      </c>
      <c r="C916" s="37" t="s">
        <v>2808</v>
      </c>
      <c r="D916" s="37" t="s">
        <v>2809</v>
      </c>
      <c r="E916" s="37">
        <v>3</v>
      </c>
      <c r="F916" s="37" t="s">
        <v>1613</v>
      </c>
      <c r="G916" s="37" t="s">
        <v>1613</v>
      </c>
      <c r="H916" s="37" t="s">
        <v>1613</v>
      </c>
      <c r="I916" s="37" t="s">
        <v>1613</v>
      </c>
      <c r="J916" s="37" t="s">
        <v>1613</v>
      </c>
      <c r="K916" s="37" t="s">
        <v>1613</v>
      </c>
      <c r="L916" s="37" t="s">
        <v>1613</v>
      </c>
      <c r="M916" s="37" t="s">
        <v>1613</v>
      </c>
      <c r="N916" s="37" t="s">
        <v>1613</v>
      </c>
      <c r="O916" s="37" t="s">
        <v>1613</v>
      </c>
      <c r="P916" s="37" t="s">
        <v>1613</v>
      </c>
      <c r="Q916" s="37" t="s">
        <v>2801</v>
      </c>
    </row>
    <row r="917" spans="2:17" ht="15">
      <c r="B917" s="37" t="s">
        <v>2798</v>
      </c>
      <c r="C917" s="37" t="s">
        <v>2810</v>
      </c>
      <c r="D917" s="37" t="s">
        <v>2811</v>
      </c>
      <c r="E917" s="37">
        <v>3</v>
      </c>
      <c r="F917" s="37" t="s">
        <v>1613</v>
      </c>
      <c r="G917" s="37" t="s">
        <v>1613</v>
      </c>
      <c r="H917" s="37" t="s">
        <v>1613</v>
      </c>
      <c r="I917" s="37" t="s">
        <v>1613</v>
      </c>
      <c r="J917" s="37" t="s">
        <v>1613</v>
      </c>
      <c r="K917" s="37" t="s">
        <v>1613</v>
      </c>
      <c r="L917" s="37" t="s">
        <v>1613</v>
      </c>
      <c r="M917" s="37" t="s">
        <v>1613</v>
      </c>
      <c r="N917" s="37" t="s">
        <v>1613</v>
      </c>
      <c r="O917" s="37" t="s">
        <v>1613</v>
      </c>
      <c r="P917" s="37" t="s">
        <v>1613</v>
      </c>
      <c r="Q917" s="37" t="s">
        <v>2801</v>
      </c>
    </row>
    <row r="918" spans="2:17" ht="15">
      <c r="B918" s="37" t="s">
        <v>2798</v>
      </c>
      <c r="C918" s="37" t="s">
        <v>2812</v>
      </c>
      <c r="D918" s="37" t="s">
        <v>2813</v>
      </c>
      <c r="E918" s="37">
        <v>4</v>
      </c>
      <c r="F918" s="37" t="s">
        <v>1613</v>
      </c>
      <c r="G918" s="37" t="s">
        <v>1613</v>
      </c>
      <c r="H918" s="37" t="s">
        <v>1613</v>
      </c>
      <c r="I918" s="37" t="s">
        <v>1613</v>
      </c>
      <c r="J918" s="37" t="s">
        <v>1613</v>
      </c>
      <c r="K918" s="37" t="s">
        <v>1613</v>
      </c>
      <c r="L918" s="37" t="s">
        <v>1613</v>
      </c>
      <c r="M918" s="37" t="s">
        <v>1613</v>
      </c>
      <c r="N918" s="37" t="s">
        <v>1613</v>
      </c>
      <c r="O918" s="37" t="s">
        <v>1613</v>
      </c>
      <c r="P918" s="37" t="s">
        <v>1613</v>
      </c>
      <c r="Q918" s="37" t="s">
        <v>2801</v>
      </c>
    </row>
    <row r="919" spans="2:17" ht="15">
      <c r="B919" s="37" t="s">
        <v>2798</v>
      </c>
      <c r="C919" s="37" t="s">
        <v>2814</v>
      </c>
      <c r="D919" s="37" t="s">
        <v>2815</v>
      </c>
      <c r="E919" s="37">
        <v>2</v>
      </c>
      <c r="F919" s="37" t="s">
        <v>1613</v>
      </c>
      <c r="G919" s="37" t="s">
        <v>1613</v>
      </c>
      <c r="H919" s="37" t="s">
        <v>1613</v>
      </c>
      <c r="I919" s="37" t="s">
        <v>1613</v>
      </c>
      <c r="J919" s="37" t="s">
        <v>1613</v>
      </c>
      <c r="K919" s="37" t="s">
        <v>1613</v>
      </c>
      <c r="L919" s="37" t="s">
        <v>1613</v>
      </c>
      <c r="M919" s="37" t="s">
        <v>1613</v>
      </c>
      <c r="N919" s="37" t="s">
        <v>1613</v>
      </c>
      <c r="O919" s="37" t="s">
        <v>1613</v>
      </c>
      <c r="P919" s="37" t="s">
        <v>1613</v>
      </c>
      <c r="Q919" s="37" t="s">
        <v>2801</v>
      </c>
    </row>
    <row r="920" spans="2:17" ht="15">
      <c r="B920" s="37" t="s">
        <v>2798</v>
      </c>
      <c r="C920" s="37" t="s">
        <v>2816</v>
      </c>
      <c r="D920" s="37" t="s">
        <v>2817</v>
      </c>
      <c r="E920" s="37">
        <v>2</v>
      </c>
      <c r="F920" s="37" t="s">
        <v>1613</v>
      </c>
      <c r="G920" s="37" t="s">
        <v>1613</v>
      </c>
      <c r="H920" s="37" t="s">
        <v>1613</v>
      </c>
      <c r="I920" s="37" t="s">
        <v>1613</v>
      </c>
      <c r="J920" s="37" t="s">
        <v>1613</v>
      </c>
      <c r="K920" s="37" t="s">
        <v>1613</v>
      </c>
      <c r="L920" s="37" t="s">
        <v>1613</v>
      </c>
      <c r="M920" s="37" t="s">
        <v>1613</v>
      </c>
      <c r="N920" s="37" t="s">
        <v>1613</v>
      </c>
      <c r="O920" s="37" t="s">
        <v>1613</v>
      </c>
      <c r="P920" s="37" t="s">
        <v>1613</v>
      </c>
      <c r="Q920" s="37" t="s">
        <v>2801</v>
      </c>
    </row>
    <row r="921" spans="2:17" ht="15">
      <c r="B921" s="37" t="s">
        <v>2798</v>
      </c>
      <c r="C921" s="37" t="s">
        <v>2818</v>
      </c>
      <c r="D921" s="37" t="s">
        <v>2819</v>
      </c>
      <c r="E921" s="37">
        <v>4</v>
      </c>
      <c r="F921" s="37" t="s">
        <v>1613</v>
      </c>
      <c r="G921" s="37" t="s">
        <v>1613</v>
      </c>
      <c r="H921" s="37" t="s">
        <v>1613</v>
      </c>
      <c r="I921" s="37" t="s">
        <v>1613</v>
      </c>
      <c r="J921" s="37" t="s">
        <v>1613</v>
      </c>
      <c r="K921" s="37" t="s">
        <v>1613</v>
      </c>
      <c r="L921" s="37" t="s">
        <v>1613</v>
      </c>
      <c r="M921" s="37" t="s">
        <v>1613</v>
      </c>
      <c r="N921" s="37" t="s">
        <v>1613</v>
      </c>
      <c r="O921" s="37" t="s">
        <v>1613</v>
      </c>
      <c r="P921" s="37" t="s">
        <v>1613</v>
      </c>
      <c r="Q921" s="37" t="s">
        <v>2801</v>
      </c>
    </row>
    <row r="922" spans="2:17" ht="15">
      <c r="B922" s="37" t="s">
        <v>2798</v>
      </c>
      <c r="C922" s="37" t="s">
        <v>2820</v>
      </c>
      <c r="D922" s="37" t="s">
        <v>2821</v>
      </c>
      <c r="E922" s="37">
        <v>5</v>
      </c>
      <c r="F922" s="37" t="s">
        <v>1613</v>
      </c>
      <c r="G922" s="37" t="s">
        <v>1613</v>
      </c>
      <c r="H922" s="37" t="s">
        <v>1613</v>
      </c>
      <c r="I922" s="37" t="s">
        <v>1613</v>
      </c>
      <c r="J922" s="37" t="s">
        <v>1613</v>
      </c>
      <c r="K922" s="37" t="s">
        <v>1613</v>
      </c>
      <c r="L922" s="37" t="s">
        <v>1613</v>
      </c>
      <c r="M922" s="37" t="s">
        <v>1613</v>
      </c>
      <c r="N922" s="37" t="s">
        <v>1613</v>
      </c>
      <c r="O922" s="37" t="s">
        <v>1613</v>
      </c>
      <c r="P922" s="37" t="s">
        <v>1613</v>
      </c>
      <c r="Q922" s="37" t="s">
        <v>2801</v>
      </c>
    </row>
    <row r="923" spans="2:17" ht="15">
      <c r="B923" s="37" t="s">
        <v>2798</v>
      </c>
      <c r="C923" s="37" t="s">
        <v>2822</v>
      </c>
      <c r="D923" s="37" t="s">
        <v>2823</v>
      </c>
      <c r="E923" s="37">
        <v>4</v>
      </c>
      <c r="F923" s="37" t="s">
        <v>1613</v>
      </c>
      <c r="G923" s="37" t="s">
        <v>1613</v>
      </c>
      <c r="H923" s="37" t="s">
        <v>1613</v>
      </c>
      <c r="I923" s="37" t="s">
        <v>1613</v>
      </c>
      <c r="J923" s="37" t="s">
        <v>1613</v>
      </c>
      <c r="K923" s="37" t="s">
        <v>1613</v>
      </c>
      <c r="L923" s="37" t="s">
        <v>1613</v>
      </c>
      <c r="M923" s="37" t="s">
        <v>1613</v>
      </c>
      <c r="N923" s="37" t="s">
        <v>1613</v>
      </c>
      <c r="O923" s="37" t="s">
        <v>1613</v>
      </c>
      <c r="P923" s="37" t="s">
        <v>1613</v>
      </c>
      <c r="Q923" s="37" t="s">
        <v>2801</v>
      </c>
    </row>
    <row r="924" spans="2:17" ht="15">
      <c r="B924" s="37" t="s">
        <v>2798</v>
      </c>
      <c r="C924" s="37" t="s">
        <v>2824</v>
      </c>
      <c r="D924" s="37" t="s">
        <v>2825</v>
      </c>
      <c r="E924" s="37">
        <v>4</v>
      </c>
      <c r="F924" s="37" t="s">
        <v>1613</v>
      </c>
      <c r="G924" s="37" t="s">
        <v>1613</v>
      </c>
      <c r="H924" s="37" t="s">
        <v>1613</v>
      </c>
      <c r="I924" s="37" t="s">
        <v>1613</v>
      </c>
      <c r="J924" s="37" t="s">
        <v>1613</v>
      </c>
      <c r="K924" s="37" t="s">
        <v>1613</v>
      </c>
      <c r="L924" s="37" t="s">
        <v>1613</v>
      </c>
      <c r="M924" s="37" t="s">
        <v>1613</v>
      </c>
      <c r="N924" s="37" t="s">
        <v>1613</v>
      </c>
      <c r="O924" s="37" t="s">
        <v>1613</v>
      </c>
      <c r="P924" s="37" t="s">
        <v>1613</v>
      </c>
      <c r="Q924" s="37" t="s">
        <v>2801</v>
      </c>
    </row>
    <row r="925" spans="2:17" ht="15">
      <c r="B925" s="37" t="s">
        <v>2798</v>
      </c>
      <c r="C925" s="37" t="s">
        <v>2826</v>
      </c>
      <c r="D925" s="37" t="s">
        <v>2827</v>
      </c>
      <c r="E925" s="37">
        <v>3</v>
      </c>
      <c r="F925" s="37" t="s">
        <v>1613</v>
      </c>
      <c r="G925" s="37" t="s">
        <v>1613</v>
      </c>
      <c r="H925" s="37" t="s">
        <v>1613</v>
      </c>
      <c r="I925" s="37" t="s">
        <v>1613</v>
      </c>
      <c r="J925" s="37" t="s">
        <v>1613</v>
      </c>
      <c r="K925" s="37" t="s">
        <v>1613</v>
      </c>
      <c r="L925" s="37" t="s">
        <v>1613</v>
      </c>
      <c r="M925" s="37" t="s">
        <v>1613</v>
      </c>
      <c r="N925" s="37" t="s">
        <v>1613</v>
      </c>
      <c r="O925" s="37" t="s">
        <v>1613</v>
      </c>
      <c r="P925" s="37" t="s">
        <v>1613</v>
      </c>
      <c r="Q925" s="37" t="s">
        <v>2801</v>
      </c>
    </row>
    <row r="926" spans="2:17" ht="15">
      <c r="B926" s="37" t="s">
        <v>2798</v>
      </c>
      <c r="C926" s="37" t="s">
        <v>2828</v>
      </c>
      <c r="D926" s="37" t="s">
        <v>2829</v>
      </c>
      <c r="E926" s="37">
        <v>4</v>
      </c>
      <c r="F926" s="37" t="s">
        <v>1613</v>
      </c>
      <c r="G926" s="37" t="s">
        <v>1613</v>
      </c>
      <c r="H926" s="37" t="s">
        <v>1613</v>
      </c>
      <c r="I926" s="37" t="s">
        <v>1613</v>
      </c>
      <c r="J926" s="37" t="s">
        <v>1613</v>
      </c>
      <c r="K926" s="37" t="s">
        <v>1613</v>
      </c>
      <c r="L926" s="37" t="s">
        <v>1613</v>
      </c>
      <c r="M926" s="37" t="s">
        <v>1613</v>
      </c>
      <c r="N926" s="37" t="s">
        <v>1613</v>
      </c>
      <c r="O926" s="37" t="s">
        <v>1613</v>
      </c>
      <c r="P926" s="37" t="s">
        <v>1613</v>
      </c>
      <c r="Q926" s="37" t="s">
        <v>2801</v>
      </c>
    </row>
    <row r="927" spans="2:17" ht="15">
      <c r="B927" s="37" t="s">
        <v>2798</v>
      </c>
      <c r="C927" s="37" t="s">
        <v>2830</v>
      </c>
      <c r="D927" s="37" t="s">
        <v>2831</v>
      </c>
      <c r="E927" s="37">
        <v>2</v>
      </c>
      <c r="F927" s="37" t="s">
        <v>1613</v>
      </c>
      <c r="G927" s="37" t="s">
        <v>1613</v>
      </c>
      <c r="H927" s="37" t="s">
        <v>1613</v>
      </c>
      <c r="I927" s="37" t="s">
        <v>1613</v>
      </c>
      <c r="J927" s="37" t="s">
        <v>1613</v>
      </c>
      <c r="K927" s="37" t="s">
        <v>1613</v>
      </c>
      <c r="L927" s="37" t="s">
        <v>1613</v>
      </c>
      <c r="M927" s="37" t="s">
        <v>1613</v>
      </c>
      <c r="N927" s="37" t="s">
        <v>1613</v>
      </c>
      <c r="O927" s="37" t="s">
        <v>1613</v>
      </c>
      <c r="P927" s="37" t="s">
        <v>1613</v>
      </c>
      <c r="Q927" s="37" t="s">
        <v>2801</v>
      </c>
    </row>
    <row r="928" spans="2:17" ht="15">
      <c r="B928" s="37" t="s">
        <v>2798</v>
      </c>
      <c r="C928" s="37" t="s">
        <v>2832</v>
      </c>
      <c r="D928" s="37" t="s">
        <v>2833</v>
      </c>
      <c r="E928" s="37">
        <v>3</v>
      </c>
      <c r="F928" s="37" t="s">
        <v>1613</v>
      </c>
      <c r="G928" s="37" t="s">
        <v>1613</v>
      </c>
      <c r="H928" s="37" t="s">
        <v>1613</v>
      </c>
      <c r="I928" s="37" t="s">
        <v>1613</v>
      </c>
      <c r="J928" s="37" t="s">
        <v>1613</v>
      </c>
      <c r="K928" s="37" t="s">
        <v>1613</v>
      </c>
      <c r="L928" s="37" t="s">
        <v>1613</v>
      </c>
      <c r="M928" s="37" t="s">
        <v>1613</v>
      </c>
      <c r="N928" s="37" t="s">
        <v>1613</v>
      </c>
      <c r="O928" s="37" t="s">
        <v>1613</v>
      </c>
      <c r="P928" s="37" t="s">
        <v>1613</v>
      </c>
      <c r="Q928" s="37" t="s">
        <v>2801</v>
      </c>
    </row>
    <row r="929" spans="2:17" ht="15">
      <c r="B929" s="37" t="s">
        <v>2798</v>
      </c>
      <c r="C929" s="37" t="s">
        <v>2834</v>
      </c>
      <c r="D929" s="37" t="s">
        <v>2835</v>
      </c>
      <c r="E929" s="37">
        <v>4</v>
      </c>
      <c r="F929" s="37" t="s">
        <v>1613</v>
      </c>
      <c r="G929" s="37" t="s">
        <v>1613</v>
      </c>
      <c r="H929" s="37" t="s">
        <v>1613</v>
      </c>
      <c r="I929" s="37" t="s">
        <v>1613</v>
      </c>
      <c r="J929" s="37" t="s">
        <v>1613</v>
      </c>
      <c r="K929" s="37" t="s">
        <v>1613</v>
      </c>
      <c r="L929" s="37" t="s">
        <v>1613</v>
      </c>
      <c r="M929" s="37" t="s">
        <v>1613</v>
      </c>
      <c r="N929" s="37" t="s">
        <v>1613</v>
      </c>
      <c r="O929" s="37" t="s">
        <v>1613</v>
      </c>
      <c r="P929" s="37" t="s">
        <v>1613</v>
      </c>
      <c r="Q929" s="37" t="s">
        <v>2801</v>
      </c>
    </row>
    <row r="930" spans="2:17" ht="15">
      <c r="B930" s="37" t="s">
        <v>2798</v>
      </c>
      <c r="C930" s="37" t="s">
        <v>2836</v>
      </c>
      <c r="D930" s="37" t="s">
        <v>2837</v>
      </c>
      <c r="E930" s="37">
        <v>5</v>
      </c>
      <c r="F930" s="37" t="s">
        <v>1613</v>
      </c>
      <c r="G930" s="37" t="s">
        <v>1613</v>
      </c>
      <c r="H930" s="37" t="s">
        <v>1613</v>
      </c>
      <c r="I930" s="37" t="s">
        <v>1613</v>
      </c>
      <c r="J930" s="37" t="s">
        <v>1613</v>
      </c>
      <c r="K930" s="37" t="s">
        <v>1613</v>
      </c>
      <c r="L930" s="37" t="s">
        <v>1613</v>
      </c>
      <c r="M930" s="37" t="s">
        <v>1613</v>
      </c>
      <c r="N930" s="37" t="s">
        <v>1613</v>
      </c>
      <c r="O930" s="37" t="s">
        <v>1613</v>
      </c>
      <c r="P930" s="37" t="s">
        <v>1613</v>
      </c>
      <c r="Q930" s="37" t="s">
        <v>2801</v>
      </c>
    </row>
    <row r="931" spans="2:17" ht="15">
      <c r="B931" s="37" t="s">
        <v>2798</v>
      </c>
      <c r="C931" s="37" t="s">
        <v>2838</v>
      </c>
      <c r="D931" s="37" t="s">
        <v>2839</v>
      </c>
      <c r="E931" s="37">
        <v>5</v>
      </c>
      <c r="F931" s="37" t="s">
        <v>1613</v>
      </c>
      <c r="G931" s="37" t="s">
        <v>1613</v>
      </c>
      <c r="H931" s="37" t="s">
        <v>1613</v>
      </c>
      <c r="I931" s="37" t="s">
        <v>1613</v>
      </c>
      <c r="J931" s="37" t="s">
        <v>1613</v>
      </c>
      <c r="K931" s="37" t="s">
        <v>1613</v>
      </c>
      <c r="L931" s="37" t="s">
        <v>1613</v>
      </c>
      <c r="M931" s="37" t="s">
        <v>1613</v>
      </c>
      <c r="N931" s="37" t="s">
        <v>1613</v>
      </c>
      <c r="O931" s="37" t="s">
        <v>1613</v>
      </c>
      <c r="P931" s="37" t="s">
        <v>1613</v>
      </c>
      <c r="Q931" s="37" t="s">
        <v>2801</v>
      </c>
    </row>
    <row r="932" spans="2:17" ht="15">
      <c r="B932" s="37" t="s">
        <v>2840</v>
      </c>
      <c r="C932" s="37" t="s">
        <v>2841</v>
      </c>
      <c r="D932" s="37" t="s">
        <v>2842</v>
      </c>
      <c r="E932" s="37">
        <v>3</v>
      </c>
      <c r="F932" s="37" t="s">
        <v>2843</v>
      </c>
      <c r="G932" s="37" t="s">
        <v>2843</v>
      </c>
      <c r="H932" s="37" t="s">
        <v>2843</v>
      </c>
      <c r="I932" s="37" t="s">
        <v>2843</v>
      </c>
      <c r="J932" s="37" t="s">
        <v>2843</v>
      </c>
      <c r="K932" s="37" t="s">
        <v>2843</v>
      </c>
      <c r="L932" s="37" t="s">
        <v>2843</v>
      </c>
      <c r="M932" s="37" t="s">
        <v>2843</v>
      </c>
      <c r="N932" s="37" t="s">
        <v>2843</v>
      </c>
      <c r="O932" s="37" t="s">
        <v>2843</v>
      </c>
      <c r="P932" s="37" t="s">
        <v>2843</v>
      </c>
      <c r="Q932" s="37" t="s">
        <v>2844</v>
      </c>
    </row>
    <row r="933" spans="2:17" ht="15">
      <c r="B933" s="37" t="s">
        <v>2840</v>
      </c>
      <c r="C933" s="37" t="s">
        <v>2845</v>
      </c>
      <c r="D933" s="37" t="s">
        <v>2842</v>
      </c>
      <c r="E933" s="37">
        <v>3</v>
      </c>
      <c r="F933" s="37" t="s">
        <v>2843</v>
      </c>
      <c r="G933" s="37" t="s">
        <v>2843</v>
      </c>
      <c r="H933" s="37" t="s">
        <v>2843</v>
      </c>
      <c r="I933" s="37" t="s">
        <v>2843</v>
      </c>
      <c r="J933" s="37" t="s">
        <v>2843</v>
      </c>
      <c r="K933" s="37" t="s">
        <v>2843</v>
      </c>
      <c r="L933" s="37" t="s">
        <v>2843</v>
      </c>
      <c r="M933" s="37" t="s">
        <v>2843</v>
      </c>
      <c r="N933" s="37" t="s">
        <v>2843</v>
      </c>
      <c r="O933" s="37" t="s">
        <v>2843</v>
      </c>
      <c r="P933" s="37" t="s">
        <v>2843</v>
      </c>
      <c r="Q933" s="37" t="s">
        <v>2844</v>
      </c>
    </row>
    <row r="934" spans="2:17" ht="15">
      <c r="B934" s="37" t="s">
        <v>2846</v>
      </c>
      <c r="C934" s="37" t="s">
        <v>2847</v>
      </c>
      <c r="D934" s="37" t="s">
        <v>2848</v>
      </c>
      <c r="E934" s="37">
        <v>3</v>
      </c>
      <c r="F934" s="37" t="s">
        <v>2849</v>
      </c>
      <c r="G934" s="37" t="s">
        <v>2849</v>
      </c>
      <c r="H934" s="37" t="s">
        <v>2849</v>
      </c>
      <c r="I934" s="37" t="s">
        <v>2849</v>
      </c>
      <c r="J934" s="37" t="s">
        <v>2849</v>
      </c>
      <c r="K934" s="37" t="s">
        <v>2849</v>
      </c>
      <c r="L934" s="37" t="s">
        <v>2849</v>
      </c>
      <c r="M934" s="37" t="s">
        <v>2849</v>
      </c>
      <c r="N934" s="37" t="s">
        <v>2849</v>
      </c>
      <c r="O934" s="37" t="s">
        <v>2849</v>
      </c>
      <c r="P934" s="37" t="s">
        <v>2849</v>
      </c>
      <c r="Q934" s="37" t="s">
        <v>2850</v>
      </c>
    </row>
    <row r="935" spans="2:17" ht="15">
      <c r="B935" s="37" t="s">
        <v>2846</v>
      </c>
      <c r="C935" s="37" t="s">
        <v>2851</v>
      </c>
      <c r="D935" s="37" t="s">
        <v>2852</v>
      </c>
      <c r="E935" s="37">
        <v>3</v>
      </c>
      <c r="F935" s="37" t="s">
        <v>2846</v>
      </c>
      <c r="G935" s="37" t="s">
        <v>2846</v>
      </c>
      <c r="H935" s="37" t="s">
        <v>2846</v>
      </c>
      <c r="I935" s="37" t="s">
        <v>2846</v>
      </c>
      <c r="J935" s="37" t="s">
        <v>2846</v>
      </c>
      <c r="K935" s="37" t="s">
        <v>2846</v>
      </c>
      <c r="L935" s="37" t="s">
        <v>2846</v>
      </c>
      <c r="M935" s="37" t="s">
        <v>2846</v>
      </c>
      <c r="N935" s="37" t="s">
        <v>2846</v>
      </c>
      <c r="O935" s="37" t="s">
        <v>2846</v>
      </c>
      <c r="P935" s="37" t="s">
        <v>2846</v>
      </c>
      <c r="Q935" s="37" t="s">
        <v>2853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C7A9F-832B-439D-91DB-D8D6E55C9F9C}">
  <dimension ref="A1:C93"/>
  <sheetViews>
    <sheetView workbookViewId="0">
      <selection activeCell="A9" sqref="A9"/>
    </sheetView>
  </sheetViews>
  <sheetFormatPr defaultRowHeight="14.25"/>
  <cols>
    <col min="1" max="1" width="58.140625" customWidth="1"/>
    <col min="2" max="2" width="12" customWidth="1"/>
  </cols>
  <sheetData>
    <row r="1" spans="1:3">
      <c r="A1" t="s">
        <v>11</v>
      </c>
      <c r="B1" t="s">
        <v>2854</v>
      </c>
      <c r="C1" t="s">
        <v>54</v>
      </c>
    </row>
    <row r="2" spans="1:3">
      <c r="A2" t="s">
        <v>62</v>
      </c>
      <c r="B2" t="s">
        <v>2855</v>
      </c>
      <c r="C2" t="s">
        <v>23</v>
      </c>
    </row>
    <row r="3" spans="1:3">
      <c r="A3" t="s">
        <v>2856</v>
      </c>
      <c r="B3" t="s">
        <v>2857</v>
      </c>
    </row>
    <row r="4" spans="1:3">
      <c r="A4" t="s">
        <v>63</v>
      </c>
      <c r="B4" t="s">
        <v>29</v>
      </c>
    </row>
    <row r="5" spans="1:3">
      <c r="A5" t="s">
        <v>64</v>
      </c>
      <c r="B5" t="s">
        <v>34</v>
      </c>
    </row>
    <row r="6" spans="1:3">
      <c r="A6" t="s">
        <v>65</v>
      </c>
      <c r="B6" t="s">
        <v>32</v>
      </c>
    </row>
    <row r="7" spans="1:3">
      <c r="A7" t="s">
        <v>66</v>
      </c>
      <c r="B7" t="s">
        <v>57</v>
      </c>
    </row>
    <row r="8" spans="1:3">
      <c r="A8" t="s">
        <v>67</v>
      </c>
      <c r="B8" t="s">
        <v>2858</v>
      </c>
    </row>
    <row r="9" spans="1:3">
      <c r="A9" t="s">
        <v>68</v>
      </c>
      <c r="B9" t="s">
        <v>2859</v>
      </c>
    </row>
    <row r="10" spans="1:3">
      <c r="A10" t="s">
        <v>69</v>
      </c>
      <c r="B10" t="s">
        <v>55</v>
      </c>
    </row>
    <row r="11" spans="1:3">
      <c r="A11" t="s">
        <v>71</v>
      </c>
      <c r="B11" t="s">
        <v>36</v>
      </c>
    </row>
    <row r="12" spans="1:3">
      <c r="A12" t="s">
        <v>72</v>
      </c>
      <c r="B12" t="s">
        <v>56</v>
      </c>
    </row>
    <row r="13" spans="1:3">
      <c r="A13" t="s">
        <v>70</v>
      </c>
      <c r="B13" t="s">
        <v>2860</v>
      </c>
    </row>
    <row r="14" spans="1:3">
      <c r="B14" t="s">
        <v>2861</v>
      </c>
    </row>
    <row r="15" spans="1:3">
      <c r="B15" t="s">
        <v>2862</v>
      </c>
    </row>
    <row r="16" spans="1:3">
      <c r="B16" t="s">
        <v>2863</v>
      </c>
    </row>
    <row r="17" spans="2:2">
      <c r="B17" t="s">
        <v>2864</v>
      </c>
    </row>
    <row r="18" spans="2:2">
      <c r="B18" t="s">
        <v>2865</v>
      </c>
    </row>
    <row r="19" spans="2:2">
      <c r="B19" t="s">
        <v>22</v>
      </c>
    </row>
    <row r="20" spans="2:2">
      <c r="B20" t="s">
        <v>2866</v>
      </c>
    </row>
    <row r="21" spans="2:2">
      <c r="B21" t="s">
        <v>2867</v>
      </c>
    </row>
    <row r="22" spans="2:2">
      <c r="B22" t="s">
        <v>2868</v>
      </c>
    </row>
    <row r="23" spans="2:2">
      <c r="B23" t="s">
        <v>2869</v>
      </c>
    </row>
    <row r="24" spans="2:2">
      <c r="B24" t="s">
        <v>2870</v>
      </c>
    </row>
    <row r="25" spans="2:2">
      <c r="B25" t="s">
        <v>2871</v>
      </c>
    </row>
    <row r="26" spans="2:2">
      <c r="B26" t="s">
        <v>2872</v>
      </c>
    </row>
    <row r="27" spans="2:2">
      <c r="B27" t="s">
        <v>2873</v>
      </c>
    </row>
    <row r="28" spans="2:2">
      <c r="B28" t="s">
        <v>2874</v>
      </c>
    </row>
    <row r="29" spans="2:2">
      <c r="B29" t="s">
        <v>2875</v>
      </c>
    </row>
    <row r="30" spans="2:2">
      <c r="B30" t="s">
        <v>2876</v>
      </c>
    </row>
    <row r="31" spans="2:2">
      <c r="B31" t="s">
        <v>2877</v>
      </c>
    </row>
    <row r="32" spans="2:2">
      <c r="B32" t="s">
        <v>2878</v>
      </c>
    </row>
    <row r="33" spans="2:2">
      <c r="B33" t="s">
        <v>2879</v>
      </c>
    </row>
    <row r="34" spans="2:2">
      <c r="B34" t="s">
        <v>2880</v>
      </c>
    </row>
    <row r="35" spans="2:2">
      <c r="B35" t="s">
        <v>2881</v>
      </c>
    </row>
    <row r="36" spans="2:2">
      <c r="B36" t="s">
        <v>2882</v>
      </c>
    </row>
    <row r="37" spans="2:2">
      <c r="B37" t="s">
        <v>2883</v>
      </c>
    </row>
    <row r="38" spans="2:2">
      <c r="B38" t="s">
        <v>2884</v>
      </c>
    </row>
    <row r="39" spans="2:2">
      <c r="B39" t="s">
        <v>2885</v>
      </c>
    </row>
    <row r="40" spans="2:2">
      <c r="B40" t="s">
        <v>2886</v>
      </c>
    </row>
    <row r="41" spans="2:2">
      <c r="B41" t="s">
        <v>2887</v>
      </c>
    </row>
    <row r="42" spans="2:2">
      <c r="B42" t="s">
        <v>2888</v>
      </c>
    </row>
    <row r="43" spans="2:2">
      <c r="B43" t="s">
        <v>2889</v>
      </c>
    </row>
    <row r="44" spans="2:2">
      <c r="B44" t="s">
        <v>2890</v>
      </c>
    </row>
    <row r="45" spans="2:2">
      <c r="B45" t="s">
        <v>2891</v>
      </c>
    </row>
    <row r="46" spans="2:2">
      <c r="B46" t="s">
        <v>2892</v>
      </c>
    </row>
    <row r="47" spans="2:2">
      <c r="B47" t="s">
        <v>2893</v>
      </c>
    </row>
    <row r="48" spans="2:2">
      <c r="B48" t="s">
        <v>2894</v>
      </c>
    </row>
    <row r="49" spans="2:2">
      <c r="B49" t="s">
        <v>2895</v>
      </c>
    </row>
    <row r="50" spans="2:2">
      <c r="B50" t="s">
        <v>2896</v>
      </c>
    </row>
    <row r="51" spans="2:2">
      <c r="B51" t="s">
        <v>2897</v>
      </c>
    </row>
    <row r="52" spans="2:2">
      <c r="B52" t="s">
        <v>2898</v>
      </c>
    </row>
    <row r="53" spans="2:2">
      <c r="B53" t="s">
        <v>2899</v>
      </c>
    </row>
    <row r="54" spans="2:2">
      <c r="B54" t="s">
        <v>2900</v>
      </c>
    </row>
    <row r="55" spans="2:2">
      <c r="B55" t="s">
        <v>2901</v>
      </c>
    </row>
    <row r="56" spans="2:2">
      <c r="B56" t="s">
        <v>2902</v>
      </c>
    </row>
    <row r="57" spans="2:2">
      <c r="B57" t="s">
        <v>2903</v>
      </c>
    </row>
    <row r="58" spans="2:2">
      <c r="B58" t="s">
        <v>2904</v>
      </c>
    </row>
    <row r="59" spans="2:2">
      <c r="B59" t="s">
        <v>2905</v>
      </c>
    </row>
    <row r="60" spans="2:2">
      <c r="B60" t="s">
        <v>2906</v>
      </c>
    </row>
    <row r="61" spans="2:2">
      <c r="B61" t="s">
        <v>2907</v>
      </c>
    </row>
    <row r="62" spans="2:2">
      <c r="B62" t="s">
        <v>2908</v>
      </c>
    </row>
    <row r="63" spans="2:2">
      <c r="B63" t="s">
        <v>2909</v>
      </c>
    </row>
    <row r="64" spans="2:2">
      <c r="B64" t="s">
        <v>2910</v>
      </c>
    </row>
    <row r="65" spans="2:2">
      <c r="B65" t="s">
        <v>2911</v>
      </c>
    </row>
    <row r="66" spans="2:2">
      <c r="B66" t="s">
        <v>2912</v>
      </c>
    </row>
    <row r="67" spans="2:2">
      <c r="B67" t="s">
        <v>2913</v>
      </c>
    </row>
    <row r="68" spans="2:2">
      <c r="B68" t="s">
        <v>2914</v>
      </c>
    </row>
    <row r="69" spans="2:2">
      <c r="B69" t="s">
        <v>2915</v>
      </c>
    </row>
    <row r="70" spans="2:2">
      <c r="B70" t="s">
        <v>2916</v>
      </c>
    </row>
    <row r="71" spans="2:2">
      <c r="B71" t="s">
        <v>2917</v>
      </c>
    </row>
    <row r="72" spans="2:2">
      <c r="B72" t="s">
        <v>2918</v>
      </c>
    </row>
    <row r="73" spans="2:2">
      <c r="B73" t="s">
        <v>2919</v>
      </c>
    </row>
    <row r="74" spans="2:2">
      <c r="B74" t="s">
        <v>2920</v>
      </c>
    </row>
    <row r="75" spans="2:2">
      <c r="B75" t="s">
        <v>2921</v>
      </c>
    </row>
    <row r="76" spans="2:2">
      <c r="B76" t="s">
        <v>2922</v>
      </c>
    </row>
    <row r="77" spans="2:2">
      <c r="B77" t="s">
        <v>2923</v>
      </c>
    </row>
    <row r="78" spans="2:2">
      <c r="B78" t="s">
        <v>2924</v>
      </c>
    </row>
    <row r="79" spans="2:2">
      <c r="B79" t="s">
        <v>2925</v>
      </c>
    </row>
    <row r="80" spans="2:2">
      <c r="B80" t="s">
        <v>2926</v>
      </c>
    </row>
    <row r="81" spans="2:2">
      <c r="B81" t="s">
        <v>2927</v>
      </c>
    </row>
    <row r="82" spans="2:2">
      <c r="B82" t="s">
        <v>2928</v>
      </c>
    </row>
    <row r="83" spans="2:2">
      <c r="B83" t="s">
        <v>2929</v>
      </c>
    </row>
    <row r="84" spans="2:2">
      <c r="B84" t="s">
        <v>2930</v>
      </c>
    </row>
    <row r="85" spans="2:2">
      <c r="B85" t="s">
        <v>2931</v>
      </c>
    </row>
    <row r="86" spans="2:2">
      <c r="B86" t="s">
        <v>2932</v>
      </c>
    </row>
    <row r="87" spans="2:2">
      <c r="B87" t="s">
        <v>2933</v>
      </c>
    </row>
    <row r="88" spans="2:2">
      <c r="B88" t="s">
        <v>2934</v>
      </c>
    </row>
    <row r="89" spans="2:2">
      <c r="B89" t="s">
        <v>2935</v>
      </c>
    </row>
    <row r="90" spans="2:2">
      <c r="B90" t="s">
        <v>2936</v>
      </c>
    </row>
    <row r="91" spans="2:2">
      <c r="B91" t="s">
        <v>2937</v>
      </c>
    </row>
    <row r="92" spans="2:2">
      <c r="B92" t="s">
        <v>2938</v>
      </c>
    </row>
    <row r="93" spans="2:2">
      <c r="B93" t="s">
        <v>2939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972A3-CF13-4878-87D1-5442C11EDC6F}">
  <dimension ref="A1:R2"/>
  <sheetViews>
    <sheetView topLeftCell="I1" workbookViewId="0">
      <selection activeCell="O1" sqref="O1"/>
    </sheetView>
  </sheetViews>
  <sheetFormatPr defaultColWidth="28.5703125" defaultRowHeight="14.25"/>
  <cols>
    <col min="1" max="1" width="28.140625" customWidth="1"/>
    <col min="2" max="2" width="28.5703125" style="22"/>
    <col min="3" max="3" width="39.7109375" customWidth="1"/>
    <col min="4" max="4" width="28.5703125" style="22"/>
    <col min="6" max="6" width="42.42578125" style="22" customWidth="1"/>
    <col min="7" max="7" width="45" customWidth="1"/>
    <col min="8" max="8" width="45" style="22" customWidth="1"/>
    <col min="9" max="9" width="45" customWidth="1"/>
    <col min="10" max="10" width="45" style="22" customWidth="1"/>
    <col min="12" max="12" width="28.5703125" style="22"/>
    <col min="14" max="14" width="28.5703125" style="22"/>
    <col min="16" max="16" width="28.5703125" style="22"/>
    <col min="18" max="18" width="28.5703125" style="22"/>
  </cols>
  <sheetData>
    <row r="1" spans="1:18">
      <c r="A1" t="s">
        <v>27</v>
      </c>
      <c r="B1" s="22" t="str" cm="1">
        <f t="array" ref="B1:B2">_xlfn._xlws.SORT(_xlfn.UNIQUE(_xlfn.VSTACK(_xlfn.ANCHORARRAY($A$2),$A$1)))</f>
        <v>*** NA ***</v>
      </c>
      <c r="C1" t="s">
        <v>28</v>
      </c>
      <c r="D1" s="22" t="str" cm="1">
        <f t="array" ref="D1:D2">_xlfn._xlws.SORT(_xlfn.UNIQUE(_xlfn.VSTACK(_xlfn.ANCHORARRAY($C$2),$C$1)))</f>
        <v>*** NA ***</v>
      </c>
      <c r="E1" t="s">
        <v>31</v>
      </c>
      <c r="F1" s="22" t="str" cm="1">
        <f t="array" ref="F1:F2">_xlfn._xlws.SORT(_xlfn.UNIQUE(_xlfn.VSTACK(_xlfn.ANCHORARRAY($E$2),$E$1)))</f>
        <v>*** NA ***</v>
      </c>
      <c r="G1" t="s">
        <v>33</v>
      </c>
      <c r="H1" s="22" t="str" cm="1">
        <f t="array" ref="H1:H2">_xlfn._xlws.SORT(_xlfn.UNIQUE(_xlfn.VSTACK($G$1,_xlfn.ANCHORARRAY($G$2))))</f>
        <v>*** NA ***</v>
      </c>
      <c r="I1" t="s">
        <v>35</v>
      </c>
      <c r="J1" s="22" t="str" cm="1">
        <f t="array" ref="J1:J2">_xlfn._xlws.SORT(_xlfn.UNIQUE(_xlfn.VSTACK(_xlfn.ANCHORARRAY($I$2),$I$1)))</f>
        <v>*** NA ***</v>
      </c>
      <c r="K1" t="s">
        <v>40</v>
      </c>
      <c r="L1" s="22" t="str" cm="1">
        <f t="array" ref="L1:L2">_xlfn._xlws.SORT(_xlfn.UNIQUE(_xlfn.VSTACK(_xlfn.ANCHORARRAY($K$2),$K$1)))</f>
        <v xml:space="preserve"> *** STEP 07: SELECT ELECTIVES ***</v>
      </c>
      <c r="M1" t="s">
        <v>41</v>
      </c>
      <c r="N1" s="22" t="str" cm="1">
        <f t="array" ref="N1:N2">_xlfn._xlws.SORT(_xlfn.UNIQUE(_xlfn.VSTACK(_xlfn.ANCHORARRAY($M$2),$M$1)))</f>
        <v xml:space="preserve"> *** STEP 08: SELECT ELECTIVES ***</v>
      </c>
      <c r="O1" t="s">
        <v>43</v>
      </c>
      <c r="P1" s="22" t="str" cm="1">
        <f t="array" ref="P1:P2">_xlfn._xlws.SORT(_xlfn.UNIQUE(_xlfn.VSTACK(_xlfn.ANCHORARRAY($O$2),$O$1)))</f>
        <v xml:space="preserve"> *** STEP 09: SELECT ELECTIVES ***</v>
      </c>
      <c r="Q1" t="s">
        <v>44</v>
      </c>
      <c r="R1" s="22" t="str" cm="1">
        <f t="array" ref="R1:R2">_xlfn._xlws.SORT(_xlfn.UNIQUE(_xlfn.VSTACK(_xlfn.ANCHORARRAY($Q$2),$Q$1)))</f>
        <v xml:space="preserve"> *** STEP 10: SELECT ELECTIVES ***</v>
      </c>
    </row>
    <row r="2" spans="1:18">
      <c r="A2" t="str" cm="1">
        <f t="array" ref="A2">_xlfn._xlws.SORT(_xlfn.LET(
    _xlpm.search_key, "*" &amp; 'ME MS'!C10 &amp; "*",
    _xlpm.target_col_index, _xlfn.XMATCH(_xlpm.search_key, cs!1:1, 2),
    _xlpm.target_col_data, _xlfn.CHOOSECOLS(cs!A:ZZ, _xlpm.target_col_index),
    _xlfn._xlws.FILTER(cs!C:C, (ISNUMBER(SEARCH("Group 1", _xlpm.target_col_data))), "*** NA ***")
))</f>
        <v>*** NA ***</v>
      </c>
      <c r="B2" s="22" t="str">
        <v>*** STEP 02: SELECT GROUP 1 ***</v>
      </c>
      <c r="C2" t="str" cm="1">
        <f t="array" ref="C2">_xlfn._xlws.SORT(_xlfn.LET(
    _xlpm.search_key, "*" &amp; 'ME MS'!C10 &amp; "*",
    _xlpm.target_col_index, _xlfn.XMATCH(_xlpm.search_key, cs!1:1, 2),
    _xlpm.target_col_data, _xlfn.CHOOSECOLS(cs!A:ZZ, _xlpm.target_col_index),
    _xlfn._xlws.FILTER(cs!C:C, (ISNUMBER(SEARCH("Group 1", _xlpm.target_col_data))), "*** NA ***")
))</f>
        <v>*** NA ***</v>
      </c>
      <c r="D2" s="22" t="str">
        <v>*** STEP 03: SELECT GROUP 1 ***</v>
      </c>
      <c r="E2" t="str" cm="1">
        <f t="array" ref="E2">_xlfn._xlws.SORT(_xlfn.LET(
    _xlpm.search_key, "*" &amp; 'ME MS'!C10 &amp; "*",
    _xlpm.target_col_index, _xlfn.XMATCH(_xlpm.search_key, cs!1:1, 2),
    _xlpm.target_col_data, _xlfn.CHOOSECOLS(cs!A:ZZ, _xlpm.target_col_index),
    _xlfn._xlws.FILTER(cs!C:C, ((ISNUMBER(SEARCH("Group 1", _xlpm.target_col_data))) + (ISNUMBER(SEARCH("Group 2", _xlpm.target_col_data)))), "*** NA ***")
))</f>
        <v>*** NA ***</v>
      </c>
      <c r="F2" s="22" t="str">
        <v>*** STEP 04: SELECT GROUP 1 OR 2 ***</v>
      </c>
      <c r="G2" t="str" cm="1">
        <f t="array" ref="G2">_xlfn._xlws.SORT(_xlfn.LET(
    _xlpm.search_key, "*" &amp; 'ME MS'!C10 &amp; "*",
    _xlpm.target_col_index, _xlfn.XMATCH(_xlpm.search_key, cs!1:1, 2),
    _xlpm.target_col_data, _xlfn.CHOOSECOLS(cs!A:ZZ, _xlpm.target_col_index),
    _xlfn._xlws.FILTER(cs!C:C, ((ISNUMBER(SEARCH("Group 1", _xlpm.target_col_data))) + (ISNUMBER(SEARCH("Group 2", _xlpm.target_col_data)))), "*** NA ***")
))</f>
        <v>*** NA ***</v>
      </c>
      <c r="H2" s="22" t="str">
        <v>*** STEP 05: SELECT GROUP 1 OR 2 ***</v>
      </c>
      <c r="I2" t="str" cm="1">
        <f t="array" ref="I2">_xlfn._xlws.SORT(_xlfn.LET(
    _xlpm.search_key, "*" &amp; 'ME MS'!C10 &amp; "*",
    _xlpm.target_col_index, _xlfn.XMATCH(_xlpm.search_key, cs!1:1, 2),
    _xlpm.target_col_data, _xlfn.CHOOSECOLS(cs!A:ZZ, _xlpm.target_col_index),
    _xlfn._xlws.FILTER(cs!C:C, ((ISNUMBER(SEARCH("Group 1", _xlpm.target_col_data))) + (ISNUMBER(SEARCH("Group 2", _xlpm.target_col_data)))), "*** NA ***")
))</f>
        <v>*** NA ***</v>
      </c>
      <c r="J2" s="22" t="str">
        <v>*** STEP 06: SELECT GROUP 1 OR 2 ***</v>
      </c>
      <c r="K2" t="str" cm="1">
        <f t="array" ref="K2">_xlfn._xlws.SORT(_xlfn.LET(
    _xlpm.search_key, "*" &amp; 'ME MS'!C10 &amp; "*",
    _xlpm.target_col_index, _xlfn.XMATCH(_xlpm.search_key, cs!1:1, 2),
    _xlpm.target_col_data, _xlfn.CHOOSECOLS(cs!A:ZZ, _xlpm.target_col_index),
    _xlfn._xlws.FILTER(cs!C:C, ((ISNUMBER(SEARCH("Elective", _xlpm.target_col_data))) + (ISNUMBER(SEARCH("Group 1", _xlpm.target_col_data))) + (ISNUMBER(SEARCH("Group 2", _xlpm.target_col_data)))), "*** NA ***")
))</f>
        <v>*** NA ***</v>
      </c>
      <c r="L2" s="22" t="str">
        <v>*** NA ***</v>
      </c>
      <c r="M2" t="str" cm="1">
        <f t="array" ref="M2">_xlfn._xlws.SORT(_xlfn.LET(
    _xlpm.search_key, "*" &amp; 'ME MS'!C10 &amp; "*",
    _xlpm.target_col_index, _xlfn.XMATCH(_xlpm.search_key, cs!1:1, 2),
    _xlpm.target_col_data, _xlfn.CHOOSECOLS(cs!A:ZZ, _xlpm.target_col_index),
    _xlfn._xlws.FILTER(cs!C:C, ((ISNUMBER(SEARCH("Elective", _xlpm.target_col_data))) + (ISNUMBER(SEARCH("Group 1", _xlpm.target_col_data))) + (ISNUMBER(SEARCH("Group 2", _xlpm.target_col_data)))), "*** NA ***")
))</f>
        <v>*** NA ***</v>
      </c>
      <c r="N2" s="22" t="str">
        <v>*** NA ***</v>
      </c>
      <c r="O2" t="str" cm="1">
        <f t="array" ref="O2">_xlfn._xlws.SORT(_xlfn.LET(
    _xlpm.search_key, "*" &amp; 'ME MS'!C10 &amp; "*",
    _xlpm.target_col_index, _xlfn.XMATCH(_xlpm.search_key, cs!1:1, 2),
    _xlpm.target_col_data, _xlfn.CHOOSECOLS(cs!A:ZZ, _xlpm.target_col_index),
    _xlfn._xlws.FILTER(cs!C:C, ((ISNUMBER(SEARCH("Elective", _xlpm.target_col_data))) + (ISNUMBER(SEARCH("Group 1", _xlpm.target_col_data))) + (ISNUMBER(SEARCH("Group 2", _xlpm.target_col_data)))), "*** NA ***")
))</f>
        <v>*** NA ***</v>
      </c>
      <c r="P2" s="22" t="str">
        <v>*** NA ***</v>
      </c>
      <c r="Q2" t="str" cm="1">
        <f t="array" ref="Q2">_xlfn._xlws.SORT(_xlfn.LET(
    _xlpm.search_key, "*" &amp; 'ME MS'!C10 &amp; "*",
    _xlpm.target_col_index, _xlfn.XMATCH(_xlpm.search_key, cs!1:1, 2),
    _xlpm.target_col_data, _xlfn.CHOOSECOLS(cs!A:ZZ, _xlpm.target_col_index),
    _xlfn._xlws.FILTER(cs!C:C, ((ISNUMBER(SEARCH("Elective", _xlpm.target_col_data))) + (ISNUMBER(SEARCH("Group 1", _xlpm.target_col_data))) + (ISNUMBER(SEARCH("Group 2", _xlpm.target_col_data)))), "*** NA ***")
))</f>
        <v>*** NA ***</v>
      </c>
      <c r="R2" s="22" t="str">
        <v>*** NA ***</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45A38-C86E-4F5B-8860-168BD78959F3}">
  <dimension ref="A1:B10"/>
  <sheetViews>
    <sheetView workbookViewId="0">
      <selection activeCell="A11" sqref="A11"/>
    </sheetView>
  </sheetViews>
  <sheetFormatPr defaultRowHeight="14.25"/>
  <cols>
    <col min="1" max="1" width="85.7109375" customWidth="1"/>
    <col min="2" max="2" width="25.28515625" customWidth="1"/>
  </cols>
  <sheetData>
    <row r="1" spans="1:2">
      <c r="A1" t="str">
        <f>'ME MS'!C10</f>
        <v>*** STEP 1: SELECT FROM LIST ***</v>
      </c>
    </row>
    <row r="2" spans="1:2">
      <c r="A2" t="str">
        <f>'ME MS'!B16</f>
        <v>*** STEP 02: SELECT GROUP 1 ***</v>
      </c>
      <c r="B2" t="s">
        <v>20</v>
      </c>
    </row>
    <row r="3" spans="1:2">
      <c r="A3" t="str">
        <f>'ME MS'!B17</f>
        <v>*** STEP 03: SELECT GROUP 1 ***</v>
      </c>
    </row>
    <row r="4" spans="1:2">
      <c r="A4" t="str">
        <f>'ME MS'!B18</f>
        <v>*** STEP 04: SELECT GROUP 1 OR 2 ***</v>
      </c>
    </row>
    <row r="5" spans="1:2">
      <c r="A5" t="str">
        <f>'ME MS'!B19</f>
        <v>*** STEP 05: SELECT GROUP 1 OR 2 ***</v>
      </c>
    </row>
    <row r="6" spans="1:2">
      <c r="A6" t="str">
        <f>'ME MS'!B20</f>
        <v>*** STEP 06: SELECT GROUP 1 OR 2 ***</v>
      </c>
    </row>
    <row r="7" spans="1:2">
      <c r="A7" t="str">
        <f>'ME MS'!B22</f>
        <v xml:space="preserve"> *** STEP 07: SELECT ELECTIVES ***</v>
      </c>
    </row>
    <row r="8" spans="1:2">
      <c r="A8" t="str">
        <f>'ME MS'!B23</f>
        <v xml:space="preserve"> *** STEP 08: SELECT ELECTIVES ***</v>
      </c>
    </row>
    <row r="9" spans="1:2">
      <c r="A9" t="str">
        <f>'ME MS'!B24</f>
        <v xml:space="preserve"> *** STEP 09: SELECT ELECTIVES ***</v>
      </c>
    </row>
    <row r="10" spans="1:2">
      <c r="A10" t="str">
        <f>'ME MS'!B25</f>
        <v xml:space="preserve"> *** STEP 10: SELECT ELECTIVES ***</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15595-46ED-49CB-BCEA-A84D6342C597}">
  <dimension ref="A1:B5"/>
  <sheetViews>
    <sheetView workbookViewId="0">
      <selection sqref="A1:XFD1"/>
    </sheetView>
  </sheetViews>
  <sheetFormatPr defaultRowHeight="14.25"/>
  <cols>
    <col min="1" max="1" width="16.7109375" customWidth="1"/>
    <col min="2" max="2" width="59.42578125" customWidth="1"/>
  </cols>
  <sheetData>
    <row r="1" spans="1:2">
      <c r="A1" s="21" t="s">
        <v>90</v>
      </c>
      <c r="B1" s="17" t="s">
        <v>91</v>
      </c>
    </row>
    <row r="2" spans="1:2">
      <c r="A2" s="21" t="s">
        <v>205</v>
      </c>
      <c r="B2" s="17" t="s">
        <v>206</v>
      </c>
    </row>
    <row r="3" spans="1:2">
      <c r="A3" s="21" t="s">
        <v>250</v>
      </c>
      <c r="B3" s="17" t="s">
        <v>251</v>
      </c>
    </row>
    <row r="4" spans="1:2">
      <c r="A4" s="21" t="s">
        <v>253</v>
      </c>
      <c r="B4" s="17" t="s">
        <v>254</v>
      </c>
    </row>
    <row r="5" spans="1:2">
      <c r="A5" s="21" t="s">
        <v>283</v>
      </c>
      <c r="B5" s="17" t="s">
        <v>284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7167260BC3004459B101D0120DDA56B" ma:contentTypeVersion="15" ma:contentTypeDescription="Create a new document." ma:contentTypeScope="" ma:versionID="f962a6b2189c43549a39ab0e008eeca8">
  <xsd:schema xmlns:xsd="http://www.w3.org/2001/XMLSchema" xmlns:xs="http://www.w3.org/2001/XMLSchema" xmlns:p="http://schemas.microsoft.com/office/2006/metadata/properties" xmlns:ns2="00cfd96b-8914-44f3-9567-a9d845692884" xmlns:ns3="11dc25f7-14b0-40c0-95cf-41a131f6a7a5" targetNamespace="http://schemas.microsoft.com/office/2006/metadata/properties" ma:root="true" ma:fieldsID="7aa48e65632d4b2357afff14ec2f128f" ns2:_="" ns3:_="">
    <xsd:import namespace="00cfd96b-8914-44f3-9567-a9d845692884"/>
    <xsd:import namespace="11dc25f7-14b0-40c0-95cf-41a131f6a7a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cfd96b-8914-44f3-9567-a9d84569288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f3f7c956-802a-45ac-b2ba-cc78506785f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1dc25f7-14b0-40c0-95cf-41a131f6a7a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990ac7d9-7f1c-44d4-a9cd-69f4e0c0cefa}" ma:internalName="TaxCatchAll" ma:showField="CatchAllData" ma:web="11dc25f7-14b0-40c0-95cf-41a131f6a7a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0cfd96b-8914-44f3-9567-a9d845692884">
      <Terms xmlns="http://schemas.microsoft.com/office/infopath/2007/PartnerControls"/>
    </lcf76f155ced4ddcb4097134ff3c332f>
    <TaxCatchAll xmlns="11dc25f7-14b0-40c0-95cf-41a131f6a7a5" xsi:nil="true"/>
  </documentManagement>
</p:properties>
</file>

<file path=customXml/itemProps1.xml><?xml version="1.0" encoding="utf-8"?>
<ds:datastoreItem xmlns:ds="http://schemas.openxmlformats.org/officeDocument/2006/customXml" ds:itemID="{1C3F631F-CE5E-4227-8DEC-0B51C9D5F566}"/>
</file>

<file path=customXml/itemProps2.xml><?xml version="1.0" encoding="utf-8"?>
<ds:datastoreItem xmlns:ds="http://schemas.openxmlformats.org/officeDocument/2006/customXml" ds:itemID="{56A59302-F7B0-45CF-8BE9-FEE19F74D9B2}"/>
</file>

<file path=customXml/itemProps3.xml><?xml version="1.0" encoding="utf-8"?>
<ds:datastoreItem xmlns:ds="http://schemas.openxmlformats.org/officeDocument/2006/customXml" ds:itemID="{20E96D61-28B8-494F-AF87-C7092872F2F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Ruth Berenson</dc:creator>
  <cp:keywords/>
  <dc:description/>
  <cp:lastModifiedBy>Mohammad Rafiei</cp:lastModifiedBy>
  <cp:revision/>
  <dcterms:created xsi:type="dcterms:W3CDTF">2023-07-06T15:52:39Z</dcterms:created>
  <dcterms:modified xsi:type="dcterms:W3CDTF">2026-09-17T02:14:07Z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0x01010067167260BC3004459B101D0120DDA56B</vt:lpwstr>
  </property>
  <property fmtid="{D5CDD505-2E9C-101B-9397-08002B2CF9AE}" pid="3" name="MediaServiceImageTags">
    <vt:lpwstr/>
  </property>
</Properties>
</file>